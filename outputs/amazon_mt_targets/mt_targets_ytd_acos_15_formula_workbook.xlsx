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56c553ed6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s_Jun_16_2026 (1)" sheetId="1" r:id="R4fb62f0b108441f0"/>
    <x:sheet xmlns:r="http://schemas.openxmlformats.org/officeDocument/2006/relationships" name="Summary" sheetId="2" r:id="R03853afcbff84901"/>
    <x:sheet xmlns:r="http://schemas.openxmlformats.org/officeDocument/2006/relationships" name="Formula Bank" sheetId="3" r:id="Rbf747a24f230440c"/>
  </x:sheets>
</x:workbook>
</file>

<file path=xl/sharedStrings.xml><?xml version="1.0" encoding="utf-8"?>
<x:sst xmlns:x="http://schemas.openxmlformats.org/spreadsheetml/2006/main">
  <x:si>
    <x:t xml:space="preserve">Active</x:t>
  </x:si>
  <x:si>
    <x:t xml:space="preserve">Target</x:t>
  </x:si>
  <x:si>
    <x:t xml:space="preserve">Target active status</x:t>
  </x:si>
  <x:si>
    <x:t xml:space="preserve">Targeting type</x:t>
  </x:si>
  <x:si>
    <x:t xml:space="preserve">Campaign</x:t>
  </x:si>
  <x:si>
    <x:t xml:space="preserve">Type</x:t>
  </x:si>
  <x:si>
    <x:t xml:space="preserve">Campaign active status</x:t>
  </x:si>
  <x:si>
    <x:t xml:space="preserve">Ad group</x:t>
  </x:si>
  <x:si>
    <x:t xml:space="preserve">Products</x:t>
  </x:si>
  <x:si>
    <x:t xml:space="preserve">ROAS</x:t>
  </x:si>
  <x:si>
    <x:t xml:space="preserve">Conversion rate</x:t>
  </x:si>
  <x:si>
    <x:t xml:space="preserve">CPC</x:t>
  </x:si>
  <x:si>
    <x:t xml:space="preserve">Bid</x:t>
  </x:si>
  <x:si>
    <x:t xml:space="preserve">Suggested bid</x:t>
  </x:si>
  <x:si>
    <x:t xml:space="preserve">Impressions</x:t>
  </x:si>
  <x:si>
    <x:t xml:space="preserve">Top-of-search IS</x:t>
  </x:si>
  <x:si>
    <x:t xml:space="preserve">Clicks</x:t>
  </x:si>
  <x:si>
    <x:t xml:space="preserve">Spend</x:t>
  </x:si>
  <x:si>
    <x:t xml:space="preserve">CTR</x:t>
  </x:si>
  <x:si>
    <x:t xml:space="preserve">Orders</x:t>
  </x:si>
  <x:si>
    <x:t xml:space="preserve">Sales</x:t>
  </x:si>
  <x:si>
    <x:t xml:space="preserve">ACOS</x:t>
  </x:si>
  <x:si>
    <x:t xml:space="preserve">ENABLED</x:t>
  </x:si>
  <x:si>
    <x:t xml:space="preserve">table frame</x:t>
  </x:si>
  <x:si>
    <x:t xml:space="preserve">Keyword - broad</x:t>
  </x:si>
  <x:si>
    <x:t xml:space="preserve">K.O. - New Frames Manual Tufan</x:t>
  </x:si>
  <x:si>
    <x:t xml:space="preserve">SP</x:t>
  </x:si>
  <x:si>
    <x:t xml:space="preserve">enabled</x:t>
  </x:si>
  <x:si>
    <x:t xml:space="preserve">Frames Manual New Tufan</x:t>
  </x:si>
  <x:si>
    <x:t xml:space="preserve">kitchen posters</x:t>
  </x:si>
  <x:si>
    <x:t xml:space="preserve">K.O. - 8.5x11 new tufan manual</x:t>
  </x:si>
  <x:si>
    <x:t xml:space="preserve">8.5x11 man</x:t>
  </x:si>
  <x:si>
    <x:t xml:space="preserve">0.19179133103183738</x:t>
  </x:si>
  <x:si>
    <x:t xml:space="preserve">poster frames 36 x 48</x:t>
  </x:si>
  <x:si>
    <x:t xml:space="preserve">black poster frame</x:t>
  </x:si>
  <x:si>
    <x:t xml:space="preserve">opti</x:t>
  </x:si>
  <x:si>
    <x:t xml:space="preserve">5.142231947483589</x:t>
  </x:si>
  <x:si>
    <x:t xml:space="preserve">10 inch frame</x:t>
  </x:si>
  <x:si>
    <x:t xml:space="preserve">48x36 snap frame</x:t>
  </x:si>
  <x:si>
    <x:t xml:space="preserve">Keyword - exact</x:t>
  </x:si>
  <x:si>
    <x:t xml:space="preserve">K.O. - 36x48 frame - 2.3.20</x:t>
  </x:si>
  <x:si>
    <x:t xml:space="preserve">36x48 exact</x:t>
  </x:si>
  <x:si>
    <x:t xml:space="preserve">27.586206896551722</x:t>
  </x:si>
  <x:si>
    <x:t xml:space="preserve">22x28 frame glass</x:t>
  </x:si>
  <x:si>
    <x:t xml:space="preserve">K.O. - 22x28 frame - 2.3.20</x:t>
  </x:si>
  <x:si>
    <x:t xml:space="preserve">22x28 exact</x:t>
  </x:si>
  <x:si>
    <x:t xml:space="preserve">22x28 poster frame</x:t>
  </x:si>
  <x:si>
    <x:t xml:space="preserve">28x22 frame</x:t>
  </x:si>
  <x:si>
    <x:t xml:space="preserve">22x28 frame</x:t>
  </x:si>
  <x:si>
    <x:t xml:space="preserve">22 x 28 poster frame</x:t>
  </x:si>
  <x:si>
    <x:t xml:space="preserve">frame 22x28</x:t>
  </x:si>
  <x:si>
    <x:t xml:space="preserve">frame 22 x 28</x:t>
  </x:si>
  <x:si>
    <x:t xml:space="preserve">22 x 28 frame</x:t>
  </x:si>
  <x:si>
    <x:t xml:space="preserve">28 x 22 frame</x:t>
  </x:si>
  <x:si>
    <x:t xml:space="preserve">28x22 poster frame</x:t>
  </x:si>
  <x:si>
    <x:t xml:space="preserve">28 x 22 poster frame</x:t>
  </x:si>
  <x:si>
    <x:t xml:space="preserve">22 x 28 picture frame</x:t>
  </x:si>
  <x:si>
    <x:t xml:space="preserve">picture frame 28x22</x:t>
  </x:si>
  <x:si>
    <x:t xml:space="preserve">0.29239766081871343</x:t>
  </x:si>
  <x:si>
    <x:t xml:space="preserve">22 28 black frame</x:t>
  </x:si>
  <x:si>
    <x:t xml:space="preserve">wooden frame 28x22</x:t>
  </x:si>
  <x:si>
    <x:t xml:space="preserve">7.6923076923076925</x:t>
  </x:si>
  <x:si>
    <x:t xml:space="preserve">snap poster frame</x:t>
  </x:si>
  <x:si>
    <x:t xml:space="preserve">K.O. - SP Manual | test | harvestingManual</x:t>
  </x:si>
  <x:si>
    <x:t xml:space="preserve">B07FQT4TLZ | targets || SP Manual | test | harvestingManual</x:t>
  </x:si>
  <x:si>
    <x:t xml:space="preserve">3.4722222222222223</x:t>
  </x:si>
  <x:si>
    <x:t xml:space="preserve">40x60 poster frame</x:t>
  </x:si>
  <x:si>
    <x:t xml:space="preserve">large poster frame</x:t>
  </x:si>
  <x:si>
    <x:t xml:space="preserve">front loading poster frame</x:t>
  </x:si>
  <x:si>
    <x:t xml:space="preserve">aluminum snap frame</x:t>
  </x:si>
  <x:si>
    <x:t xml:space="preserve">silver poster frame</x:t>
  </x:si>
  <x:si>
    <x:t xml:space="preserve">anti glare poster frame</x:t>
  </x:si>
  <x:si>
    <x:t xml:space="preserve">quick change poster frame</x:t>
  </x:si>
  <x:si>
    <x:t xml:space="preserve">certificate frame large</x:t>
  </x:si>
  <x:si>
    <x:t xml:space="preserve">close-match</x:t>
  </x:si>
  <x:si>
    <x:t xml:space="preserve">Automatic - Close match</x:t>
  </x:si>
  <x:si>
    <x:t xml:space="preserve">K.O. - SP Auto | test | harvestingAuto</x:t>
  </x:si>
  <x:si>
    <x:t xml:space="preserve">B00JNWW3R4 | targets || SP Auto | test | harvestingAuto</x:t>
  </x:si>
  <x:si>
    <x:t xml:space="preserve">complements</x:t>
  </x:si>
  <x:si>
    <x:t xml:space="preserve">Automatic - Complements</x:t>
  </x:si>
  <x:si>
    <x:t xml:space="preserve">B07FGYGVP7 | targets || SP Auto | test | harvestingAuto</x:t>
  </x:si>
  <x:si>
    <x:t xml:space="preserve">outdoor sandwich board</x:t>
  </x:si>
  <x:si>
    <x:t xml:space="preserve">B07D18XQMN | keywords || SP Manual | test | harvestingManual</x:t>
  </x:si>
  <x:si>
    <x:t xml:space="preserve">advertising board</x:t>
  </x:si>
  <x:si>
    <x:t xml:space="preserve">aframe sign</x:t>
  </x:si>
  <x:si>
    <x:t xml:space="preserve">outdoor sign stand</x:t>
  </x:si>
  <x:si>
    <x:t xml:space="preserve">outdoor display stand</x:t>
  </x:si>
  <x:si>
    <x:t xml:space="preserve">B07C8794Z6 | keywords || SP Manual | test | harvestingManual</x:t>
  </x:si>
  <x:si>
    <x:t xml:space="preserve">floor sign holder</x:t>
  </x:si>
  <x:si>
    <x:t xml:space="preserve">floor standing sign holder</x:t>
  </x:si>
  <x:si>
    <x:t xml:space="preserve">poster sign holder</x:t>
  </x:si>
  <x:si>
    <x:t xml:space="preserve">black board</x:t>
  </x:si>
  <x:si>
    <x:t xml:space="preserve">slide board</x:t>
  </x:si>
  <x:si>
    <x:t xml:space="preserve">0.5151688609044075</x:t>
  </x:si>
  <x:si>
    <x:t xml:space="preserve">double sided</x:t>
  </x:si>
  <x:si>
    <x:t xml:space="preserve">pet cover</x:t>
  </x:si>
  <x:si>
    <x:t xml:space="preserve">0.8163265306122449</x:t>
  </x:si>
  <x:si>
    <x:t xml:space="preserve">floor board</x:t>
  </x:si>
  <x:si>
    <x:t xml:space="preserve">sign display holder</x:t>
  </x:si>
  <x:si>
    <x:t xml:space="preserve">frame 24 x 36</x:t>
  </x:si>
  <x:si>
    <x:t xml:space="preserve">B07K7VCNDG | keywords || SP Manual | test | harvestingManual</x:t>
  </x:si>
  <x:si>
    <x:t xml:space="preserve">poster size frames 24x36</x:t>
  </x:si>
  <x:si>
    <x:t xml:space="preserve">one sheet poster frame</x:t>
  </x:si>
  <x:si>
    <x:t xml:space="preserve">28x40 poster frame</x:t>
  </x:si>
  <x:si>
    <x:t xml:space="preserve">30x40 frame</x:t>
  </x:si>
  <x:si>
    <x:t xml:space="preserve">snap photo frame</x:t>
  </x:si>
  <x:si>
    <x:t xml:space="preserve">B01KAGRSV2 | keywords || SP Manual | test | harvestingManual</x:t>
  </x:si>
  <x:si>
    <x:t xml:space="preserve">silver snap frame</x:t>
  </x:si>
  <x:si>
    <x:t xml:space="preserve">sidewalk sign holder</x:t>
  </x:si>
  <x:si>
    <x:t xml:space="preserve">B08Q81CTHJ | keywords || SP Manual | test | harvestingManual</x:t>
  </x:si>
  <x:si>
    <x:t xml:space="preserve">frame sidewalk sign</x:t>
  </x:si>
  <x:si>
    <x:t xml:space="preserve">poster frame</x:t>
  </x:si>
  <x:si>
    <x:t xml:space="preserve">24x36 poster frame</x:t>
  </x:si>
  <x:si>
    <x:t xml:space="preserve">office poster</x:t>
  </x:si>
  <x:si>
    <x:t xml:space="preserve">poster display</x:t>
  </x:si>
  <x:si>
    <x:t xml:space="preserve">outdoor sign display</x:t>
  </x:si>
  <x:si>
    <x:t xml:space="preserve">B07KTB2X3J | keywords || SP Manual | test | harvestingManual</x:t>
  </x:si>
  <x:si>
    <x:t xml:space="preserve">sidewalk display sign</x:t>
  </x:si>
  <x:si>
    <x:t xml:space="preserve">30x40 sidewalk sign</x:t>
  </x:si>
  <x:si>
    <x:t xml:space="preserve">sandwich board sign</x:t>
  </x:si>
  <x:si>
    <x:t xml:space="preserve">sidewalk frame</x:t>
  </x:si>
  <x:si>
    <x:t xml:space="preserve">outdoor business signs</x:t>
  </x:si>
  <x:si>
    <x:t xml:space="preserve">0.27100271002710025</x:t>
  </x:si>
  <x:si>
    <x:t xml:space="preserve">36 x 48 poster frame</x:t>
  </x:si>
  <x:si>
    <x:t xml:space="preserve">B08Q4HPB21 | keywords || SP Manual | test | harvestingManual</x:t>
  </x:si>
  <x:si>
    <x:t xml:space="preserve">0.5494505494505495</x:t>
  </x:si>
  <x:si>
    <x:t xml:space="preserve">36 48 poster frame</x:t>
  </x:si>
  <x:si>
    <x:t xml:space="preserve">33.33333333333333</x:t>
  </x:si>
  <x:si>
    <x:t xml:space="preserve">36x48 picture frame</x:t>
  </x:si>
  <x:si>
    <x:t xml:space="preserve">0.7272727272727273</x:t>
  </x:si>
  <x:si>
    <x:t xml:space="preserve">36x48 snap frame</x:t>
  </x:si>
  <x:si>
    <x:t xml:space="preserve">36 x 48 inch frame</x:t>
  </x:si>
  <x:si>
    <x:t xml:space="preserve">11.11111111111111</x:t>
  </x:si>
  <x:si>
    <x:t xml:space="preserve">outdoor message board</x:t>
  </x:si>
  <x:si>
    <x:t xml:space="preserve">B07FGYGVP7 | keywords || SP Manual | test | harvestingManual</x:t>
  </x:si>
  <x:si>
    <x:t xml:space="preserve">outdoor display board</x:t>
  </x:si>
  <x:si>
    <x:t xml:space="preserve">outdoor enclosed bulletin board</x:t>
  </x:si>
  <x:si>
    <x:t xml:space="preserve">outdoor display case</x:t>
  </x:si>
  <x:si>
    <x:t xml:space="preserve">0.023393636930754833</x:t>
  </x:si>
  <x:si>
    <x:t xml:space="preserve">message center bulletin board</x:t>
  </x:si>
  <x:si>
    <x:t xml:space="preserve">magnetic bulletin board</x:t>
  </x:si>
  <x:si>
    <x:t xml:space="preserve">silver bulletin board</x:t>
  </x:si>
  <x:si>
    <x:t xml:space="preserve">B07D18LCXC | keywords || SP Manual | test | harvestingManual</x:t>
  </x:si>
  <x:si>
    <x:t xml:space="preserve">signage board</x:t>
  </x:si>
  <x:si>
    <x:t xml:space="preserve">0.14388489208633093</x:t>
  </x:si>
  <x:si>
    <x:t xml:space="preserve">outdoor picture frame</x:t>
  </x:si>
  <x:si>
    <x:t xml:space="preserve">B00VU3L6JA | keywords || SP Manual | test | harvestingManual</x:t>
  </x:si>
  <x:si>
    <x:t xml:space="preserve">11.904761904761903</x:t>
  </x:si>
  <x:si>
    <x:t xml:space="preserve">picture frame 24 x 36</x:t>
  </x:si>
  <x:si>
    <x:t xml:space="preserve">snap frame</x:t>
  </x:si>
  <x:si>
    <x:t xml:space="preserve">0.10482180293501049</x:t>
  </x:si>
  <x:si>
    <x:t xml:space="preserve">waterproof picture frame grave</x:t>
  </x:si>
  <x:si>
    <x:t xml:space="preserve">9.523809523809524</x:t>
  </x:si>
  <x:si>
    <x:t xml:space="preserve">picture frames 24x36 silver</x:t>
  </x:si>
  <x:si>
    <x:t xml:space="preserve">waterproof poster frame</x:t>
  </x:si>
  <x:si>
    <x:t xml:space="preserve">36 24 inch frame</x:t>
  </x:si>
  <x:si>
    <x:t xml:space="preserve">6.451612903225806</x:t>
  </x:si>
  <x:si>
    <x:t xml:space="preserve">weatherproof poster frame</x:t>
  </x:si>
  <x:si>
    <x:t xml:space="preserve">5.9459459459459465</x:t>
  </x:si>
  <x:si>
    <x:t xml:space="preserve">24 36 picture frame</x:t>
  </x:si>
  <x:si>
    <x:t xml:space="preserve">outdoor poster display</x:t>
  </x:si>
  <x:si>
    <x:t xml:space="preserve">outdoor picture frame waterproof</x:t>
  </x:si>
  <x:si>
    <x:t xml:space="preserve">5.660377358490567</x:t>
  </x:si>
  <x:si>
    <x:t xml:space="preserve">picture frames 36x24</x:t>
  </x:si>
  <x:si>
    <x:t xml:space="preserve">weatherproof picture frame</x:t>
  </x:si>
  <x:si>
    <x:t xml:space="preserve">2.3622047244094486</x:t>
  </x:si>
  <x:si>
    <x:t xml:space="preserve">24x36 inch poster frame</x:t>
  </x:si>
  <x:si>
    <x:t xml:space="preserve">frame 24 36</x:t>
  </x:si>
  <x:si>
    <x:t xml:space="preserve">0.17446932247746438</x:t>
  </x:si>
  <x:si>
    <x:t xml:space="preserve">photo frame 24 x 36</x:t>
  </x:si>
  <x:si>
    <x:t xml:space="preserve">poster picture frames 24x36</x:t>
  </x:si>
  <x:si>
    <x:t xml:space="preserve">frame 24x36 black</x:t>
  </x:si>
  <x:si>
    <x:t xml:space="preserve">1.1494252873563218</x:t>
  </x:si>
  <x:si>
    <x:t xml:space="preserve">m t displays</x:t>
  </x:si>
  <x:si>
    <x:t xml:space="preserve">B08FXT1CMK | keywords || SP Manual | test | harvestingManual</x:t>
  </x:si>
  <x:si>
    <x:t xml:space="preserve">14.233576642335766</x:t>
  </x:si>
  <x:si>
    <x:t xml:space="preserve">advertising sign</x:t>
  </x:si>
  <x:si>
    <x:t xml:space="preserve">double sided frame</x:t>
  </x:si>
  <x:si>
    <x:t xml:space="preserve">double sided white board</x:t>
  </x:si>
  <x:si>
    <x:t xml:space="preserve">36 x 48 frame</x:t>
  </x:si>
  <x:si>
    <x:t xml:space="preserve">B089GS3DJ6 | keywords || SP Manual | test | harvestingManual</x:t>
  </x:si>
  <x:si>
    <x:t xml:space="preserve">36x48 frame</x:t>
  </x:si>
  <x:si>
    <x:t xml:space="preserve">certificate frame</x:t>
  </x:si>
  <x:si>
    <x:t xml:space="preserve">black picture frame</x:t>
  </x:si>
  <x:si>
    <x:t xml:space="preserve">movie poster frame</x:t>
  </x:si>
  <x:si>
    <x:t xml:space="preserve">poster frame 27x40</x:t>
  </x:si>
  <x:si>
    <x:t xml:space="preserve">poster holder</x:t>
  </x:si>
  <x:si>
    <x:t xml:space="preserve">0.30864197530864196</x:t>
  </x:si>
  <x:si>
    <x:t xml:space="preserve">40 x 60 frame</x:t>
  </x:si>
  <x:si>
    <x:t xml:space="preserve">B07FQT4TLZ | keywords || SP Manual | test | harvestingManual</x:t>
  </x:si>
  <x:si>
    <x:t xml:space="preserve">B01G2F3Z2G | B084BXT9F9 | keywords || SP Manual | test | harvestingManual</x:t>
  </x:si>
  <x:si>
    <x:t xml:space="preserve">poster sign stand</x:t>
  </x:si>
  <x:si>
    <x:t xml:space="preserve">11x17 display stand</x:t>
  </x:si>
  <x:si>
    <x:t xml:space="preserve">curved sign holder</x:t>
  </x:si>
  <x:si>
    <x:t xml:space="preserve">advertising stand</x:t>
  </x:si>
  <x:si>
    <x:t xml:space="preserve">sandwich sign</x:t>
  </x:si>
  <x:si>
    <x:t xml:space="preserve">B08FF3583F | keywords || SP Manual | test | harvestingManual</x:t>
  </x:si>
  <x:si>
    <x:t xml:space="preserve">display sign</x:t>
  </x:si>
  <x:si>
    <x:t xml:space="preserve">advertising display</x:t>
  </x:si>
  <x:si>
    <x:t xml:space="preserve">outdoor poster frame</x:t>
  </x:si>
  <x:si>
    <x:t xml:space="preserve">folding sign sidewalk</x:t>
  </x:si>
  <x:si>
    <x:t xml:space="preserve">black poster board</x:t>
  </x:si>
  <x:si>
    <x:t xml:space="preserve">double sided sign holder</x:t>
  </x:si>
  <x:si>
    <x:t xml:space="preserve">folding display</x:t>
  </x:si>
  <x:si>
    <x:t xml:space="preserve">outdoor restaurant sign</x:t>
  </x:si>
  <x:si>
    <x:t xml:space="preserve">4.545454545454546</x:t>
  </x:si>
  <x:si>
    <x:t xml:space="preserve">outdoor signage</x:t>
  </x:si>
  <x:si>
    <x:t xml:space="preserve">portable sign</x:t>
  </x:si>
  <x:si>
    <x:t xml:space="preserve">B01LZP6F7Z | keywords || SP Manual | test | harvestingManual</x:t>
  </x:si>
  <x:si>
    <x:t xml:space="preserve">1.185647425897036</x:t>
  </x:si>
  <x:si>
    <x:t xml:space="preserve">snap open frame</x:t>
  </x:si>
  <x:si>
    <x:t xml:space="preserve">3.977272727272727</x:t>
  </x:si>
  <x:si>
    <x:t xml:space="preserve">24x36 sandwich board</x:t>
  </x:si>
  <x:si>
    <x:t xml:space="preserve">wood sandwich board</x:t>
  </x:si>
  <x:si>
    <x:t xml:space="preserve">curb sign</x:t>
  </x:si>
  <x:si>
    <x:t xml:space="preserve">plastic frame</x:t>
  </x:si>
  <x:si>
    <x:t xml:space="preserve">signboards</x:t>
  </x:si>
  <x:si>
    <x:t xml:space="preserve">18x36 frame</x:t>
  </x:si>
  <x:si>
    <x:t xml:space="preserve">Keyword - phrase</x:t>
  </x:si>
  <x:si>
    <x:t xml:space="preserve">AMZ-SP-M-Frames</x:t>
  </x:si>
  <x:si>
    <x:t xml:space="preserve">18x36</x:t>
  </x:si>
  <x:si>
    <x:t xml:space="preserve">kids art frame</x:t>
  </x:si>
  <x:si>
    <x:t xml:space="preserve">18x36 picture frame</x:t>
  </x:si>
  <x:si>
    <x:t xml:space="preserve">14.942528735632186</x:t>
  </x:si>
  <x:si>
    <x:t xml:space="preserve">18 x 36 picture frame</x:t>
  </x:si>
  <x:si>
    <x:t xml:space="preserve">7.936507936507936</x:t>
  </x:si>
  <x:si>
    <x:t xml:space="preserve">18 x 36 frame</x:t>
  </x:si>
  <x:si>
    <x:t xml:space="preserve">kids artwork frames changeable</x:t>
  </x:si>
  <x:si>
    <x:t xml:space="preserve">magnet picture frames for fridge</x:t>
  </x:si>
  <x:si>
    <x:t xml:space="preserve">frame 18x36</x:t>
  </x:si>
  <x:si>
    <x:t xml:space="preserve">4.761904761904762</x:t>
  </x:si>
  <x:si>
    <x:t xml:space="preserve">frames for kids artwork</x:t>
  </x:si>
  <x:si>
    <x:t xml:space="preserve">0.2742230347349177</x:t>
  </x:si>
  <x:si>
    <x:t xml:space="preserve">kids artwork frame</x:t>
  </x:si>
  <x:si>
    <x:t xml:space="preserve">0.14492753623188406</x:t>
  </x:si>
  <x:si>
    <x:t xml:space="preserve">18 by 36 frame</x:t>
  </x:si>
  <x:si>
    <x:t xml:space="preserve">kids art frames</x:t>
  </x:si>
  <x:si>
    <x:t xml:space="preserve">q snap frames for cross stitch</x:t>
  </x:si>
  <x:si>
    <x:t xml:space="preserve">frames 18x36</x:t>
  </x:si>
  <x:si>
    <x:t xml:space="preserve">plastic picture frames</x:t>
  </x:si>
  <x:si>
    <x:t xml:space="preserve">0.1736111111111111</x:t>
  </x:si>
  <x:si>
    <x:t xml:space="preserve">movie posters for theater room</x:t>
  </x:si>
  <x:si>
    <x:t xml:space="preserve">picture frame for kid art work</x:t>
  </x:si>
  <x:si>
    <x:t xml:space="preserve">scalloped picture frame</x:t>
  </x:si>
  <x:si>
    <x:t xml:space="preserve">16.878980891719745</x:t>
  </x:si>
  <x:si>
    <x:t xml:space="preserve">keyword-group="Keywords related to your product category"</x:t>
  </x:si>
  <x:si>
    <x:t xml:space="preserve">Keyword Group</x:t>
  </x:si>
  <x:si>
    <x:t xml:space="preserve">0.29940119760479045</x:t>
  </x:si>
  <x:si>
    <x:t xml:space="preserve">20x16 frame</x:t>
  </x:si>
  <x:si>
    <x:t xml:space="preserve">16x20</x:t>
  </x:si>
  <x:si>
    <x:t xml:space="preserve">0.6251698831204131</x:t>
  </x:si>
  <x:si>
    <x:t xml:space="preserve">diploma frame</x:t>
  </x:si>
  <x:si>
    <x:t xml:space="preserve">16x20 poster frame</x:t>
  </x:si>
  <x:si>
    <x:t xml:space="preserve">16 x 20 poster frame</x:t>
  </x:si>
  <x:si>
    <x:t xml:space="preserve">16 x 20 picture frame</x:t>
  </x:si>
  <x:si>
    <x:t xml:space="preserve">16 x 20 frame</x:t>
  </x:si>
  <x:si>
    <x:t xml:space="preserve">picture frames 16x20</x:t>
  </x:si>
  <x:si>
    <x:t xml:space="preserve">0.14424337791765016</x:t>
  </x:si>
  <x:si>
    <x:t xml:space="preserve">locking bulletin board</x:t>
  </x:si>
  <x:si>
    <x:t xml:space="preserve">0.019603358708792106</x:t>
  </x:si>
  <x:si>
    <x:t xml:space="preserve">frame cover</x:t>
  </x:si>
  <x:si>
    <x:t xml:space="preserve">waterproof picture frame outside</x:t>
  </x:si>
  <x:si>
    <x:t xml:space="preserve">24x36 photo frame</x:t>
  </x:si>
  <x:si>
    <x:t xml:space="preserve">24 x 36 frame black</x:t>
  </x:si>
  <x:si>
    <x:t xml:space="preserve">picture frame 48x32</x:t>
  </x:si>
  <x:si>
    <x:t xml:space="preserve">professional signs</x:t>
  </x:si>
  <x:si>
    <x:t xml:space="preserve">business hours sign</x:t>
  </x:si>
  <x:si>
    <x:t xml:space="preserve">outdoor business sign</x:t>
  </x:si>
  <x:si>
    <x:t xml:space="preserve">B095PNZLKP | keywords || SP Manual | test | harvestingManual</x:t>
  </x:si>
  <x:si>
    <x:t xml:space="preserve">2.7559055118110236</x:t>
  </x:si>
  <x:si>
    <x:t xml:space="preserve">a frame</x:t>
  </x:si>
  <x:si>
    <x:t xml:space="preserve">sandwich board</x:t>
  </x:si>
  <x:si>
    <x:t xml:space="preserve">sidewalk board</x:t>
  </x:si>
  <x:si>
    <x:t xml:space="preserve">sign stand</x:t>
  </x:si>
  <x:si>
    <x:t xml:space="preserve">0.28368794326241137</x:t>
  </x:si>
  <x:si>
    <x:t xml:space="preserve">24x36 frame</x:t>
  </x:si>
  <x:si>
    <x:t xml:space="preserve">a frame 24x36</x:t>
  </x:si>
  <x:si>
    <x:t xml:space="preserve">outdoor frame sign</x:t>
  </x:si>
  <x:si>
    <x:t xml:space="preserve">double sided poster frame</x:t>
  </x:si>
  <x:si>
    <x:t xml:space="preserve">0.017537706068046298</x:t>
  </x:si>
  <x:si>
    <x:t xml:space="preserve">kitchen board</x:t>
  </x:si>
  <x:si>
    <x:t xml:space="preserve">36x48 poster frame</x:t>
  </x:si>
  <x:si>
    <x:t xml:space="preserve">B08NZMWD2S | keywords || SP Manual | test | harvestingManual</x:t>
  </x:si>
  <x:si>
    <x:t xml:space="preserve">1.2679162072767365</x:t>
  </x:si>
  <x:si>
    <x:t xml:space="preserve">1.0980392156862746</x:t>
  </x:si>
  <x:si>
    <x:t xml:space="preserve">0.5072463768115941</x:t>
  </x:si>
  <x:si>
    <x:t xml:space="preserve">0.7590132827324478</x:t>
  </x:si>
  <x:si>
    <x:t xml:space="preserve">48x36 frame</x:t>
  </x:si>
  <x:si>
    <x:t xml:space="preserve">1.3550135501355014</x:t>
  </x:si>
  <x:si>
    <x:t xml:space="preserve">1.0652463382157125</x:t>
  </x:si>
  <x:si>
    <x:t xml:space="preserve">sandwich boards</x:t>
  </x:si>
  <x:si>
    <x:t xml:space="preserve">B08FXT772R</x:t>
  </x:si>
  <x:si>
    <x:t xml:space="preserve">sandwich boards outdoor plastic 24x36</x:t>
  </x:si>
  <x:si>
    <x:t xml:space="preserve">sandwich boards outdoor</x:t>
  </x:si>
  <x:si>
    <x:t xml:space="preserve">double sided sandwich board</x:t>
  </x:si>
  <x:si>
    <x:t xml:space="preserve">double sided display sign holder</x:t>
  </x:si>
  <x:si>
    <x:t xml:space="preserve">a frame sign holder 24x36 outdoor</x:t>
  </x:si>
  <x:si>
    <x:t xml:space="preserve">18x24 poster board</x:t>
  </x:si>
  <x:si>
    <x:t xml:space="preserve">0.6944444444444444</x:t>
  </x:si>
  <x:si>
    <x:t xml:space="preserve">metal display board</x:t>
  </x:si>
  <x:si>
    <x:t xml:space="preserve">0.2568493150684931</x:t>
  </x:si>
  <x:si>
    <x:t xml:space="preserve">8.5x11 sign holder</x:t>
  </x:si>
  <x:si>
    <x:t xml:space="preserve">B07VKF9R22 | keywords || SP Manual | test | harvestingManual</x:t>
  </x:si>
  <x:si>
    <x:t xml:space="preserve">slant back sign holder</x:t>
  </x:si>
  <x:si>
    <x:t xml:space="preserve">10.526315789473683</x:t>
  </x:si>
  <x:si>
    <x:t xml:space="preserve">table sign holder</x:t>
  </x:si>
  <x:si>
    <x:t xml:space="preserve">0.1485933166028266</x:t>
  </x:si>
  <x:si>
    <x:t xml:space="preserve">0.043252595155709346</x:t>
  </x:si>
  <x:si>
    <x:t xml:space="preserve">menu holder</x:t>
  </x:si>
  <x:si>
    <x:t xml:space="preserve">0.5273833671399595</x:t>
  </x:si>
  <x:si>
    <x:t xml:space="preserve">acrylic display stand</x:t>
  </x:si>
  <x:si>
    <x:t xml:space="preserve">0.3683241252302026</x:t>
  </x:si>
  <x:si>
    <x:t xml:space="preserve">clear sign holder</x:t>
  </x:si>
  <x:si>
    <x:t xml:space="preserve">8.5x11 acrylic frame</x:t>
  </x:si>
  <x:si>
    <x:t xml:space="preserve">slant back acrylic holder</x:t>
  </x:si>
  <x:si>
    <x:t xml:space="preserve">table top sign holder</x:t>
  </x:si>
  <x:si>
    <x:t xml:space="preserve">0.052756528620416784</x:t>
  </x:si>
  <x:si>
    <x:t xml:space="preserve">clear acrylic sign</x:t>
  </x:si>
  <x:si>
    <x:t xml:space="preserve">letter size sign holder</x:t>
  </x:si>
  <x:si>
    <x:t xml:space="preserve">plastic sign holder</x:t>
  </x:si>
  <x:si>
    <x:t xml:space="preserve">desktop sign holder</x:t>
  </x:si>
  <x:si>
    <x:t xml:space="preserve">0.010370216737529815</x:t>
  </x:si>
  <x:si>
    <x:t xml:space="preserve">slant back display</x:t>
  </x:si>
  <x:si>
    <x:t xml:space="preserve">18.181818181818183</x:t>
  </x:si>
  <x:si>
    <x:t xml:space="preserve">angled sign holder</x:t>
  </x:si>
  <x:si>
    <x:t xml:space="preserve">clear acrylic frame</x:t>
  </x:si>
  <x:si>
    <x:t xml:space="preserve">0.029686804215526198</x:t>
  </x:si>
  <x:si>
    <x:t xml:space="preserve">horizontal sign holder</x:t>
  </x:si>
  <x:si>
    <x:t xml:space="preserve">0.010715242432360033</x:t>
  </x:si>
  <x:si>
    <x:t xml:space="preserve">3.4482758620689653</x:t>
  </x:si>
  <x:si>
    <x:t xml:space="preserve">landscape sign holder</x:t>
  </x:si>
  <x:si>
    <x:t xml:space="preserve">portrait sign holder</x:t>
  </x:si>
  <x:si>
    <x:t xml:space="preserve">restaurant menu holder</x:t>
  </x:si>
  <x:si>
    <x:t xml:space="preserve">1.5518028297581012</x:t>
  </x:si>
  <x:si>
    <x:t xml:space="preserve">table tent holder</x:t>
  </x:si>
  <x:si>
    <x:t xml:space="preserve">retail sign holder</x:t>
  </x:si>
  <x:si>
    <x:t xml:space="preserve">0.017748591205573056</x:t>
  </x:si>
  <x:si>
    <x:t xml:space="preserve">office sign holder</x:t>
  </x:si>
  <x:si>
    <x:t xml:space="preserve">0.021141649048625793</x:t>
  </x:si>
  <x:si>
    <x:t xml:space="preserve">counter sign holder</x:t>
  </x:si>
  <x:si>
    <x:t xml:space="preserve">0.044903457566232596</x:t>
  </x:si>
  <x:si>
    <x:t xml:space="preserve">price display holder</x:t>
  </x:si>
  <x:si>
    <x:t xml:space="preserve">restaurant table sign</x:t>
  </x:si>
  <x:si>
    <x:t xml:space="preserve">cafe menu display</x:t>
  </x:si>
  <x:si>
    <x:t xml:space="preserve">0.10857763300760044</x:t>
  </x:si>
  <x:si>
    <x:t xml:space="preserve">retail counter display</x:t>
  </x:si>
  <x:si>
    <x:t xml:space="preserve">1.639344262295082</x:t>
  </x:si>
  <x:si>
    <x:t xml:space="preserve">office desk sign</x:t>
  </x:si>
  <x:si>
    <x:t xml:space="preserve">0.8234217749313815</x:t>
  </x:si>
  <x:si>
    <x:t xml:space="preserve">hotel information holder</x:t>
  </x:si>
  <x:si>
    <x:t xml:space="preserve">store display holder</x:t>
  </x:si>
  <x:si>
    <x:t xml:space="preserve">business card holder display</x:t>
  </x:si>
  <x:si>
    <x:t xml:space="preserve">8.5x11 clear acrylic sign holder</x:t>
  </x:si>
  <x:si>
    <x:t xml:space="preserve">slant back table menu holder</x:t>
  </x:si>
  <x:si>
    <x:t xml:space="preserve">acrylic display stand 8.5x11</x:t>
  </x:si>
  <x:si>
    <x:t xml:space="preserve">clear plastic sign holder restaurant</x:t>
  </x:si>
  <x:si>
    <x:t xml:space="preserve">desktop acrylic frame holder</x:t>
  </x:si>
  <x:si>
    <x:t xml:space="preserve">table top menu display stand</x:t>
  </x:si>
  <x:si>
    <x:t xml:space="preserve">angled acrylic sign holder</x:t>
  </x:si>
  <x:si>
    <x:t xml:space="preserve">plexiglass sign holder</x:t>
  </x:si>
  <x:si>
    <x:t xml:space="preserve">lucite sign holder</x:t>
  </x:si>
  <x:si>
    <x:t xml:space="preserve">plastic display stand</x:t>
  </x:si>
  <x:si>
    <x:t xml:space="preserve">table display frame</x:t>
  </x:si>
  <x:si>
    <x:t xml:space="preserve">counter display holder</x:t>
  </x:si>
  <x:si>
    <x:t xml:space="preserve">4.225352112676056</x:t>
  </x:si>
  <x:si>
    <x:t xml:space="preserve">ad frame holder</x:t>
  </x:si>
  <x:si>
    <x:t xml:space="preserve">promotional sign holder</x:t>
  </x:si>
  <x:si>
    <x:t xml:space="preserve">menu display</x:t>
  </x:si>
  <x:si>
    <x:t xml:space="preserve">2.686762778505898</x:t>
  </x:si>
  <x:si>
    <x:t xml:space="preserve">price holder</x:t>
  </x:si>
  <x:si>
    <x:t xml:space="preserve">2.912621359223301</x:t>
  </x:si>
  <x:si>
    <x:t xml:space="preserve">flyer holder</x:t>
  </x:si>
  <x:si>
    <x:t xml:space="preserve">0.5076142131979695</x:t>
  </x:si>
  <x:si>
    <x:t xml:space="preserve">brochure holder</x:t>
  </x:si>
  <x:si>
    <x:t xml:space="preserve">0.1128668171557562</x:t>
  </x:si>
  <x:si>
    <x:t xml:space="preserve">advertisement holder</x:t>
  </x:si>
  <x:si>
    <x:t xml:space="preserve">signage holder</x:t>
  </x:si>
  <x:si>
    <x:t xml:space="preserve">6.086956521739131</x:t>
  </x:si>
  <x:si>
    <x:t xml:space="preserve">display frame</x:t>
  </x:si>
  <x:si>
    <x:t xml:space="preserve">0.011393109179495084</x:t>
  </x:si>
  <x:si>
    <x:t xml:space="preserve">0.12706480304955528</x:t>
  </x:si>
  <x:si>
    <x:t xml:space="preserve">bulk sign holders</x:t>
  </x:si>
  <x:si>
    <x:t xml:space="preserve">sign holder set</x:t>
  </x:si>
  <x:si>
    <x:t xml:space="preserve">multiple sign holders</x:t>
  </x:si>
  <x:si>
    <x:t xml:space="preserve">pack of sign holders</x:t>
  </x:si>
  <x:si>
    <x:t xml:space="preserve">0.023549729178114452</x:t>
  </x:si>
  <x:si>
    <x:t xml:space="preserve">40x60 frame</x:t>
  </x:si>
  <x:si>
    <x:t xml:space="preserve">B08V5DHZRQ | keywords || SP Manual | test | harvestingManual</x:t>
  </x:si>
  <x:si>
    <x:t xml:space="preserve">40x60 inch frame</x:t>
  </x:si>
  <x:si>
    <x:t xml:space="preserve">11x11 picture frame</x:t>
  </x:si>
</x:sst>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0.0%"/>
    <x:numFmt numFmtId="202" formatCode="0.00%"/>
    <x:numFmt numFmtId="203" formatCode="0.00"/>
    <x:numFmt numFmtId="204" formatCode="#,##0"/>
  </x:numFmts>
  <x:fonts count="20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2"/>
      <x:color rgb="FFFFFFFF"/>
      <x:name val="Aptos Narrow"/>
    </x:font>
    <x:font>
      <x:b/>
      <x:sz val="16"/>
      <x:color rgb="FFFFFFFF"/>
      <x:name val="Aptos Narrow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83A59"/>
      </x:patternFill>
    </x:fill>
    <x:fill>
      <x:patternFill patternType="solid">
        <x:fgColor rgb="FFE5EEF7"/>
      </x:patternFill>
    </x:fill>
  </x:fills>
  <x:borders count="2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45">
    <x:xf numFmtId="0" fontId="0" fillId="0" borderId="0" xfId="0"/>
    <x:xf numFmtId="0" fontId="0" fillId="0" borderId="0" xfId="0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wrapText="1"/>
    </x:xf>
    <x:xf numFmtId="0" fontId="18" fillId="33" borderId="0" xfId="0" applyNumberFormat="1" applyFont="1" applyFill="1" applyBorder="1" applyAlignment="1">
      <x:alignment horizontal="center" wrapText="1"/>
    </x:xf>
    <x:xf numFmtId="0" fontId="18" fillId="33" borderId="0" xfId="0" applyNumberFormat="1" applyFont="1" applyFill="1" applyBorder="1" applyAlignment="1">
      <x:alignment horizontal="center" vertical="center" wrapText="1"/>
    </x:xf>
    <x:xf numFmtId="0" fontId="18" fillId="33" borderId="10" xfId="0" applyNumberFormat="1" applyFont="1" applyFill="1" applyBorder="1" applyAlignment="1">
      <x:alignment horizontal="center" vertical="center" wrapText="1"/>
    </x:xf>
    <x:xf numFmtId="0" fontId="18" fillId="33" borderId="11" xfId="0" applyNumberFormat="1" applyFont="1" applyFill="1" applyBorder="1" applyAlignment="1">
      <x:alignment horizontal="center" vertical="center" wrapText="1"/>
    </x:xf>
    <x:xf numFmtId="0" fontId="18" fillId="33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9" fillId="33" borderId="0" xfId="0" applyNumberFormat="1" applyFont="1" applyFill="1" applyBorder="1"/>
    <x:xf numFmtId="0" fontId="19" fillId="33" borderId="0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0" fontId="0" fillId="34" borderId="0" xfId="0" applyNumberFormat="1" applyFont="1" applyFill="1" applyBorder="1"/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horizontal="center"/>
    </x:xf>
    <x:xf numFmtId="0" fontId="19" fillId="33" borderId="13" xfId="0" applyNumberFormat="1" applyFont="1" applyFill="1" applyBorder="1" applyAlignment="1">
      <x:alignment horizontal="center"/>
    </x:xf>
    <x:xf numFmtId="0" fontId="19" fillId="33" borderId="14" xfId="0" applyNumberFormat="1" applyFont="1" applyFill="1" applyBorder="1" applyAlignment="1">
      <x:alignment horizontal="center"/>
    </x:xf>
    <x:xf numFmtId="0" fontId="19" fillId="33" borderId="15" xfId="0" applyNumberFormat="1" applyFont="1" applyFill="1" applyBorder="1" applyAlignment="1">
      <x:alignment horizontal="center"/>
    </x:xf>
    <x:xf numFmtId="0" fontId="16" fillId="0" borderId="16" xfId="0" applyNumberFormat="1" applyFont="1" applyFill="1" applyBorder="1"/>
    <x:xf numFmtId="0" fontId="0" fillId="0" borderId="0" xfId="0" applyNumberFormat="1" applyFont="1" applyFill="1" applyBorder="1"/>
    <x:xf numFmtId="0" fontId="16" fillId="34" borderId="17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6" xfId="0" applyNumberFormat="1" applyFont="1" applyFill="1" applyBorder="1"/>
    <x:xf numFmtId="0" fontId="16" fillId="34" borderId="16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17" xfId="0" applyNumberFormat="1" applyFont="1" applyFill="1" applyBorder="1"/>
    <x:xf numFmtId="200" fontId="0" fillId="0" borderId="19" xfId="0" applyNumberFormat="1" applyFont="1" applyFill="1" applyBorder="1"/>
    <x:xf numFmtId="0" fontId="18" fillId="3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8" fillId="33" borderId="13" xfId="0" applyNumberFormat="1" applyFont="1" applyFill="1" applyBorder="1" applyAlignment="1">
      <x:alignment horizontal="center" wrapText="1"/>
    </x:xf>
    <x:xf numFmtId="0" fontId="18" fillId="33" borderId="14" xfId="0" applyNumberFormat="1" applyFont="1" applyFill="1" applyBorder="1" applyAlignment="1">
      <x:alignment horizontal="center" wrapText="1"/>
    </x:xf>
    <x:xf numFmtId="0" fontId="18" fillId="33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9319e17cd46c7" /><Relationship Type="http://schemas.openxmlformats.org/officeDocument/2006/relationships/theme" Target="/xl/theme/theme1.xml" Id="R376dc706ca354544" /><Relationship Type="http://schemas.openxmlformats.org/officeDocument/2006/relationships/sharedStrings" Target="/xl/sharedStrings.xml" Id="R4fc28fb3554341ad" /><Relationship Type="http://schemas.openxmlformats.org/officeDocument/2006/relationships/worksheet" Target="/xl/worksheets/sheet1.xml" Id="R4fb62f0b108441f0" /><Relationship Type="http://schemas.openxmlformats.org/officeDocument/2006/relationships/worksheet" Target="/xl/worksheets/sheet2.xml" Id="R03853afcbff84901" /><Relationship Type="http://schemas.openxmlformats.org/officeDocument/2006/relationships/worksheet" Target="/xl/worksheets/sheet3.xml" Id="Rbf747a24f230440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8.5600004196167" hidden="0" customWidth="1"/>
    <x:col min="2" max="2" width="49.220001220703125" hidden="0" customWidth="1"/>
    <x:col min="3" max="3" width="17.110000610351562" hidden="0" customWidth="1"/>
    <x:col min="4" max="4" width="21.440000534057617" hidden="0" customWidth="1"/>
    <x:col min="5" max="5" width="34.11000061035156" hidden="0" customWidth="1"/>
    <x:col min="6" max="6" width="4.440000057220459" hidden="0" customWidth="1"/>
    <x:col min="7" max="7" width="20.440000534057617" hidden="0" customWidth="1"/>
    <x:col min="8" max="8" width="62.560001373291016" hidden="0" customWidth="1"/>
    <x:col min="9" max="9" width="8.220000267028809" hidden="0" customWidth="1"/>
    <x:col min="10" max="10" width="5.559999942779541" hidden="0" customWidth="1"/>
    <x:col min="11" max="11" width="14" hidden="0" customWidth="1"/>
    <x:col min="12" max="12" width="4.329999923706055" hidden="0" customWidth="1"/>
    <x:col min="13" max="13" width="4" hidden="0" customWidth="1"/>
    <x:col min="14" max="14" width="12.670000076293945" hidden="0" customWidth="1"/>
    <x:col min="15" max="15" width="10.890000343322754" hidden="0" customWidth="1"/>
    <x:col min="16" max="16" width="14.5600004196167" hidden="0" customWidth="1"/>
    <x:col min="17" max="17" width="5.78000020980835" hidden="0" customWidth="1"/>
    <x:col min="18" max="18" width="5.889999866485596" hidden="0" customWidth="1"/>
    <x:col min="19" max="19" width="4.21999979019165" hidden="0" customWidth="1"/>
    <x:col min="20" max="20" width="6.329999923706055" hidden="0" customWidth="1"/>
    <x:col min="21" max="21" width="5.110000133514404" hidden="0" customWidth="1"/>
    <x:col min="22" max="22" width="5.559999942779541" hidden="0" customWidth="1"/>
    <x:col min="23" max="23" width="11.329999923706055" hidden="0" customWidth="1"/>
    <x:col min="24" max="24" width="9.5600004196167" hidden="0" customWidth="1"/>
    <x:col min="25" max="25" width="10.109999656677246" hidden="0" customWidth="1"/>
    <x:col min="26" max="26" width="8.4399995803833" hidden="0" customWidth="1"/>
    <x:col min="27" max="27" width="8.5600004196167" hidden="0" customWidth="1"/>
    <x:col min="28" max="28" width="8.670000076293945" hidden="0" customWidth="1"/>
    <x:col min="29" max="29" width="9.890000343322754" hidden="0" customWidth="1"/>
    <x:col min="30" max="30" width="9.890000343322754" hidden="0" customWidth="1"/>
    <x:col min="31" max="31" width="13.779999732971191" hidden="0" customWidth="1"/>
    <x:col min="32" max="32" width="16.670000076293945" hidden="0" customWidth="1"/>
    <x:col min="33" max="33" width="12.670000076293945" hidden="0" customWidth="1"/>
    <x:col min="34" max="34" width="17.219999313354492" hidden="0" customWidth="1"/>
    <x:col min="35" max="35" width="12" hidden="0" customWidth="1"/>
    <x:col min="36" max="36" width="13.890000343322754" hidden="0" customWidth="1"/>
  </x:cols>
  <x:sheetData>
    <x:row r="1">
      <x:c r="A1" s="7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8" t="s">
        <x:v>18</x:v>
      </x:c>
      <x:c r="T1" s="8" t="s">
        <x:v>19</x:v>
      </x:c>
      <x:c r="U1" s="8" t="s">
        <x:v>20</x:v>
      </x:c>
      <x:c r="V1" s="8" t="s">
        <x:v>21</x:v>
      </x:c>
      <x:c r="W1" s="8" t="str">
        <x:v>Target ACOS</x:v>
      </x:c>
      <x:c r="X1" s="8" t="str">
        <x:v>ACOS Gap</x:v>
      </x:c>
      <x:c r="Y1" s="8" t="str">
        <x:v>Target CPC</x:v>
      </x:c>
      <x:c r="Z1" s="8" t="str">
        <x:v>Calc CTR</x:v>
      </x:c>
      <x:c r="AA1" s="8" t="str">
        <x:v>Calc CVR</x:v>
      </x:c>
      <x:c r="AB1" s="8" t="str">
        <x:v>Calc CPC</x:v>
      </x:c>
      <x:c r="AC1" s="8" t="str">
        <x:v>Calc ROAS</x:v>
      </x:c>
      <x:c r="AD1" s="8" t="str">
        <x:v>Calc ACOS</x:v>
      </x:c>
      <x:c r="AE1" s="8" t="str">
        <x:v>Revenue / Click</x:v>
      </x:c>
      <x:c r="AF1" s="8" t="str">
        <x:v>Recommended Bid</x:v>
      </x:c>
      <x:c r="AG1" s="8" t="str">
        <x:v>Bid Change %</x:v>
      </x:c>
      <x:c r="AH1" s="8" t="str">
        <x:v>Action</x:v>
      </x:c>
      <x:c r="AI1" s="8" t="str">
        <x:v>Priority Score</x:v>
      </x:c>
      <x:c r="AJ1" s="9" t="str">
        <x:v>Segment</x:v>
      </x:c>
    </x:row>
    <x:row r="2">
      <x:c r="A2" t="s">
        <x:v>22</x:v>
      </x:c>
      <x:c r="B2" t="s">
        <x:v>23</x:v>
      </x:c>
      <x:c r="C2" t="s">
        <x:v>22</x:v>
      </x:c>
      <x:c r="D2" t="s">
        <x:v>24</x:v>
      </x:c>
      <x:c r="E2" t="s">
        <x:v>25</x:v>
      </x:c>
      <x:c r="F2" t="s">
        <x:v>26</x:v>
      </x:c>
      <x:c r="G2" t="s">
        <x:v>27</x:v>
      </x:c>
      <x:c r="H2" t="s">
        <x:v>28</x:v>
      </x:c>
      <x:c r="I2">
        <x:v>24</x:v>
      </x:c>
      <x:c r="L2">
        <x:v>0</x:v>
      </x:c>
      <x:c r="M2">
        <x:v>0.72</x:v>
      </x:c>
      <x:c r="N2">
        <x:v>1.66</x:v>
      </x:c>
      <x:c r="O2">
        <x:v>30</x:v>
      </x:c>
      <x:c r="P2">
        <x:v>0</x:v>
      </x:c>
      <x:c r="Q2">
        <x:v>0</x:v>
      </x:c>
      <x:c r="R2" s="10">
        <x:v>0</x:v>
      </x:c>
      <x:c r="S2">
        <x:v>0</x:v>
      </x:c>
      <x:c r="T2">
        <x:v>0</x:v>
      </x:c>
      <x:c r="U2" s="10">
        <x:v>0</x:v>
      </x:c>
      <x:c r="W2" s="11" t="n">
        <x:f>Summary!$B$2</x:f>
        <x:v>0.15</x:v>
      </x:c>
      <x:c r="X2" s="11" t="n">
        <x:f>IFERROR(AD2-Summary!$B$2,"")</x:f>
        <x:v>-0.15</x:v>
      </x:c>
      <x:c r="Y2" s="10" t="str">
        <x:f>IFERROR((U2/Q2)*Summary!$B$2,"")</x:f>
      </x:c>
      <x:c r="Z2" s="12" t="n">
        <x:f>IFERROR(Q2/O2,0)</x:f>
        <x:v>0</x:v>
      </x:c>
      <x:c r="AA2" s="12" t="n">
        <x:f>IFERROR(T2/Q2,0)</x:f>
        <x:v>0</x:v>
      </x:c>
      <x:c r="AB2" s="10" t="n">
        <x:f>IFERROR(R2/Q2,0)</x:f>
        <x:v>0</x:v>
      </x:c>
      <x:c r="AC2" s="10" t="n">
        <x:f>IFERROR(U2/R2,0)</x:f>
        <x:v>0</x:v>
      </x:c>
      <x:c r="AD2" s="12" t="n">
        <x:f>IFERROR(R2/U2,0)</x:f>
        <x:v>0</x:v>
      </x:c>
      <x:c r="AE2" s="10" t="n">
        <x:f>IFERROR(U2/Q2,0)</x:f>
        <x:v>0</x:v>
      </x:c>
      <x:c r="AF2" s="10" t="n">
        <x:f>IF(Q2=0,M2,IF(U2=0,IF(Q2&gt;=10,MAX(0.02,M2*0.7),M2),IF(AD2=0,M2,MAX(0.02,IF(AD2&gt;Summary!$B$2,M2*Summary!$B$2/AD2,MIN(M2*1.2,M2*Summary!$B$2/AD2))))))</x:f>
        <x:v>0.72</x:v>
      </x:c>
      <x:c r="AG2" s="11" t="n">
        <x:f>IFERROR(AF2/M2-1,0)</x:f>
        <x:v>0</x:v>
      </x:c>
      <x:c r="AH2" t="str">
        <x:f>IF(Q2=0,"Need clicks",IF(AND(U2=0,Q2&gt;=10),"No sales: lower/pause",IF(AND(AD2&gt;Summary!$B$2,T2&gt;0),"Over target: reduce",IF(AND(AD2&lt;=Summary!$B$2,T2&gt;0),"At/under target: scale/hold",IF(AND(Q2&gt;0,T2=0),"Collect data","Review")))))</x:f>
        <x:v>Need clicks</x:v>
      </x:c>
      <x:c r="AI2" s="10" t="n">
        <x:f>IFERROR(IF(U2=0,R2,MAX(0,R2-(U2*Summary!$B$2))),0)</x:f>
        <x:v>0</x:v>
      </x:c>
      <x:c r="AJ2" t="str">
        <x:f>IF(AH2="No sales: lower/pause","Waste",IF(AH2="Over target: reduce","Inefficient",IF(AH2="At/under target: scale/hold","Efficient",IF(AND(O2&gt;=1000,Q2=0),"High imp/no click","Data gathering"))))</x:f>
        <x:v>Data gathering</x:v>
      </x:c>
    </x:row>
    <x:row r="3">
      <x:c r="A3" t="s">
        <x:v>22</x:v>
      </x:c>
      <x:c r="B3" t="s">
        <x:v>29</x:v>
      </x:c>
      <x:c r="C3" t="s">
        <x:v>22</x:v>
      </x:c>
      <x:c r="D3" t="s">
        <x:v>24</x:v>
      </x:c>
      <x:c r="E3" t="s">
        <x:v>30</x:v>
      </x:c>
      <x:c r="F3" t="s">
        <x:v>26</x:v>
      </x:c>
      <x:c r="G3" t="s">
        <x:v>27</x:v>
      </x:c>
      <x:c r="H3" t="s">
        <x:v>31</x:v>
      </x:c>
      <x:c r="I3">
        <x:v>28</x:v>
      </x:c>
      <x:c r="L3">
        <x:v>0</x:v>
      </x:c>
      <x:c r="M3">
        <x:v>1.2</x:v>
      </x:c>
      <x:c r="N3">
        <x:v>0.92</x:v>
      </x:c>
      <x:c r="O3">
        <x:v>1976</x:v>
      </x:c>
      <x:c r="P3" s="1" t="s">
        <x:v>32</x:v>
      </x:c>
      <x:c r="Q3">
        <x:v>0</x:v>
      </x:c>
      <x:c r="R3" s="10">
        <x:v>0</x:v>
      </x:c>
      <x:c r="S3">
        <x:v>0</x:v>
      </x:c>
      <x:c r="T3">
        <x:v>0</x:v>
      </x:c>
      <x:c r="U3" s="10">
        <x:v>0</x:v>
      </x:c>
      <x:c r="W3" s="11" t="n">
        <x:f>Summary!$B$2</x:f>
        <x:v>0.15</x:v>
      </x:c>
      <x:c r="X3" s="11" t="n">
        <x:f>IFERROR(AD3-Summary!$B$2,"")</x:f>
        <x:v>-0.15</x:v>
      </x:c>
      <x:c r="Y3" s="10" t="str">
        <x:f>IFERROR((U3/Q3)*Summary!$B$2,"")</x:f>
      </x:c>
      <x:c r="Z3" s="12" t="n">
        <x:f>IFERROR(Q3/O3,0)</x:f>
        <x:v>0</x:v>
      </x:c>
      <x:c r="AA3" s="12" t="n">
        <x:f>IFERROR(T3/Q3,0)</x:f>
        <x:v>0</x:v>
      </x:c>
      <x:c r="AB3" s="10" t="n">
        <x:f>IFERROR(R3/Q3,0)</x:f>
        <x:v>0</x:v>
      </x:c>
      <x:c r="AC3" s="10" t="n">
        <x:f>IFERROR(U3/R3,0)</x:f>
        <x:v>0</x:v>
      </x:c>
      <x:c r="AD3" s="12" t="n">
        <x:f>IFERROR(R3/U3,0)</x:f>
        <x:v>0</x:v>
      </x:c>
      <x:c r="AE3" s="10" t="n">
        <x:f>IFERROR(U3/Q3,0)</x:f>
        <x:v>0</x:v>
      </x:c>
      <x:c r="AF3" s="10" t="n">
        <x:f>IF(Q3=0,M3,IF(U3=0,IF(Q3&gt;=10,MAX(0.02,M3*0.7),M3),IF(AD3=0,M3,MAX(0.02,IF(AD3&gt;Summary!$B$2,M3*Summary!$B$2/AD3,MIN(M3*1.2,M3*Summary!$B$2/AD3))))))</x:f>
        <x:v>1.2</x:v>
      </x:c>
      <x:c r="AG3" s="11" t="n">
        <x:f>IFERROR(AF3/M3-1,0)</x:f>
        <x:v>0</x:v>
      </x:c>
      <x:c r="AH3" t="str">
        <x:f>IF(Q3=0,"Need clicks",IF(AND(U3=0,Q3&gt;=10),"No sales: lower/pause",IF(AND(AD3&gt;Summary!$B$2,T3&gt;0),"Over target: reduce",IF(AND(AD3&lt;=Summary!$B$2,T3&gt;0),"At/under target: scale/hold",IF(AND(Q3&gt;0,T3=0),"Collect data","Review")))))</x:f>
        <x:v>Need clicks</x:v>
      </x:c>
      <x:c r="AI3" s="10" t="n">
        <x:f>IFERROR(IF(U3=0,R3,MAX(0,R3-(U3*Summary!$B$2))),0)</x:f>
        <x:v>0</x:v>
      </x:c>
      <x:c r="AJ3" t="str">
        <x:f>IF(AH3="No sales: lower/pause","Waste",IF(AH3="Over target: reduce","Inefficient",IF(AH3="At/under target: scale/hold","Efficient",IF(AND(O3&gt;=1000,Q3=0),"High imp/no click","Data gathering"))))</x:f>
        <x:v>High imp/no click</x:v>
      </x:c>
    </x:row>
    <x:row r="4">
      <x:c r="A4" t="s">
        <x:v>22</x:v>
      </x:c>
      <x:c r="B4" t="s">
        <x:v>33</x:v>
      </x:c>
      <x:c r="C4" t="s">
        <x:v>22</x:v>
      </x:c>
      <x:c r="D4" t="s">
        <x:v>24</x:v>
      </x:c>
      <x:c r="E4" t="s">
        <x:v>25</x:v>
      </x:c>
      <x:c r="F4" t="s">
        <x:v>26</x:v>
      </x:c>
      <x:c r="G4" t="s">
        <x:v>27</x:v>
      </x:c>
      <x:c r="H4" t="s">
        <x:v>28</x:v>
      </x:c>
      <x:c r="I4">
        <x:v>24</x:v>
      </x:c>
      <x:c r="L4">
        <x:v>0</x:v>
      </x:c>
      <x:c r="M4">
        <x:v>0.56000000000000005</x:v>
      </x:c>
      <x:c r="N4">
        <x:v>6.59</x:v>
      </x:c>
      <x:c r="O4">
        <x:v>4</x:v>
      </x:c>
      <x:c r="P4">
        <x:v>0</x:v>
      </x:c>
      <x:c r="Q4">
        <x:v>0</x:v>
      </x:c>
      <x:c r="R4" s="10">
        <x:v>0</x:v>
      </x:c>
      <x:c r="S4">
        <x:v>0</x:v>
      </x:c>
      <x:c r="T4">
        <x:v>0</x:v>
      </x:c>
      <x:c r="U4" s="10">
        <x:v>0</x:v>
      </x:c>
      <x:c r="W4" s="11" t="n">
        <x:f>Summary!$B$2</x:f>
        <x:v>0.15</x:v>
      </x:c>
      <x:c r="X4" s="11" t="n">
        <x:f>IFERROR(AD4-Summary!$B$2,"")</x:f>
        <x:v>-0.15</x:v>
      </x:c>
      <x:c r="Y4" s="10" t="str">
        <x:f>IFERROR((U4/Q4)*Summary!$B$2,"")</x:f>
      </x:c>
      <x:c r="Z4" s="12" t="n">
        <x:f>IFERROR(Q4/O4,0)</x:f>
        <x:v>0</x:v>
      </x:c>
      <x:c r="AA4" s="12" t="n">
        <x:f>IFERROR(T4/Q4,0)</x:f>
        <x:v>0</x:v>
      </x:c>
      <x:c r="AB4" s="10" t="n">
        <x:f>IFERROR(R4/Q4,0)</x:f>
        <x:v>0</x:v>
      </x:c>
      <x:c r="AC4" s="10" t="n">
        <x:f>IFERROR(U4/R4,0)</x:f>
        <x:v>0</x:v>
      </x:c>
      <x:c r="AD4" s="12" t="n">
        <x:f>IFERROR(R4/U4,0)</x:f>
        <x:v>0</x:v>
      </x:c>
      <x:c r="AE4" s="10" t="n">
        <x:f>IFERROR(U4/Q4,0)</x:f>
        <x:v>0</x:v>
      </x:c>
      <x:c r="AF4" s="10" t="n">
        <x:f>IF(Q4=0,M4,IF(U4=0,IF(Q4&gt;=10,MAX(0.02,M4*0.7),M4),IF(AD4=0,M4,MAX(0.02,IF(AD4&gt;Summary!$B$2,M4*Summary!$B$2/AD4,MIN(M4*1.2,M4*Summary!$B$2/AD4))))))</x:f>
        <x:v>0.56</x:v>
      </x:c>
      <x:c r="AG4" s="11" t="n">
        <x:f>IFERROR(AF4/M4-1,0)</x:f>
        <x:v>0</x:v>
      </x:c>
      <x:c r="AH4" t="str">
        <x:f>IF(Q4=0,"Need clicks",IF(AND(U4=0,Q4&gt;=10),"No sales: lower/pause",IF(AND(AD4&gt;Summary!$B$2,T4&gt;0),"Over target: reduce",IF(AND(AD4&lt;=Summary!$B$2,T4&gt;0),"At/under target: scale/hold",IF(AND(Q4&gt;0,T4=0),"Collect data","Review")))))</x:f>
        <x:v>Need clicks</x:v>
      </x:c>
      <x:c r="AI4" s="10" t="n">
        <x:f>IFERROR(IF(U4=0,R4,MAX(0,R4-(U4*Summary!$B$2))),0)</x:f>
        <x:v>0</x:v>
      </x:c>
      <x:c r="AJ4" t="str">
        <x:f>IF(AH4="No sales: lower/pause","Waste",IF(AH4="Over target: reduce","Inefficient",IF(AH4="At/under target: scale/hold","Efficient",IF(AND(O4&gt;=1000,Q4=0),"High imp/no click","Data gathering"))))</x:f>
        <x:v>Data gathering</x:v>
      </x:c>
    </x:row>
    <x:row r="5">
      <x:c r="A5" t="s">
        <x:v>22</x:v>
      </x:c>
      <x:c r="B5" t="s">
        <x:v>34</x:v>
      </x:c>
      <x:c r="C5" t="s">
        <x:v>22</x:v>
      </x:c>
      <x:c r="D5" t="s">
        <x:v>24</x:v>
      </x:c>
      <x:c r="E5" t="s">
        <x:v>25</x:v>
      </x:c>
      <x:c r="F5" t="s">
        <x:v>26</x:v>
      </x:c>
      <x:c r="G5" t="s">
        <x:v>27</x:v>
      </x:c>
      <x:c r="H5" t="s">
        <x:v>28</x:v>
      </x:c>
      <x:c r="I5">
        <x:v>24</x:v>
      </x:c>
      <x:c r="L5">
        <x:v>0</x:v>
      </x:c>
      <x:c r="M5">
        <x:v>0.69</x:v>
      </x:c>
      <x:c r="N5">
        <x:v>1.78</x:v>
      </x:c>
      <x:c r="O5">
        <x:v>11</x:v>
      </x:c>
      <x:c r="P5">
        <x:v>0</x:v>
      </x:c>
      <x:c r="Q5">
        <x:v>0</x:v>
      </x:c>
      <x:c r="R5" s="10">
        <x:v>0</x:v>
      </x:c>
      <x:c r="S5">
        <x:v>0</x:v>
      </x:c>
      <x:c r="T5">
        <x:v>0</x:v>
      </x:c>
      <x:c r="U5" s="10">
        <x:v>0</x:v>
      </x:c>
      <x:c r="W5" s="11" t="n">
        <x:f>Summary!$B$2</x:f>
        <x:v>0.15</x:v>
      </x:c>
      <x:c r="X5" s="11" t="n">
        <x:f>IFERROR(AD5-Summary!$B$2,"")</x:f>
        <x:v>-0.15</x:v>
      </x:c>
      <x:c r="Y5" s="10" t="str">
        <x:f>IFERROR((U5/Q5)*Summary!$B$2,"")</x:f>
      </x:c>
      <x:c r="Z5" s="12" t="n">
        <x:f>IFERROR(Q5/O5,0)</x:f>
        <x:v>0</x:v>
      </x:c>
      <x:c r="AA5" s="12" t="n">
        <x:f>IFERROR(T5/Q5,0)</x:f>
        <x:v>0</x:v>
      </x:c>
      <x:c r="AB5" s="10" t="n">
        <x:f>IFERROR(R5/Q5,0)</x:f>
        <x:v>0</x:v>
      </x:c>
      <x:c r="AC5" s="10" t="n">
        <x:f>IFERROR(U5/R5,0)</x:f>
        <x:v>0</x:v>
      </x:c>
      <x:c r="AD5" s="12" t="n">
        <x:f>IFERROR(R5/U5,0)</x:f>
        <x:v>0</x:v>
      </x:c>
      <x:c r="AE5" s="10" t="n">
        <x:f>IFERROR(U5/Q5,0)</x:f>
        <x:v>0</x:v>
      </x:c>
      <x:c r="AF5" s="10" t="n">
        <x:f>IF(Q5=0,M5,IF(U5=0,IF(Q5&gt;=10,MAX(0.02,M5*0.7),M5),IF(AD5=0,M5,MAX(0.02,IF(AD5&gt;Summary!$B$2,M5*Summary!$B$2/AD5,MIN(M5*1.2,M5*Summary!$B$2/AD5))))))</x:f>
        <x:v>0.69</x:v>
      </x:c>
      <x:c r="AG5" s="11" t="n">
        <x:f>IFERROR(AF5/M5-1,0)</x:f>
        <x:v>0</x:v>
      </x:c>
      <x:c r="AH5" t="str">
        <x:f>IF(Q5=0,"Need clicks",IF(AND(U5=0,Q5&gt;=10),"No sales: lower/pause",IF(AND(AD5&gt;Summary!$B$2,T5&gt;0),"Over target: reduce",IF(AND(AD5&lt;=Summary!$B$2,T5&gt;0),"At/under target: scale/hold",IF(AND(Q5&gt;0,T5=0),"Collect data","Review")))))</x:f>
        <x:v>Need clicks</x:v>
      </x:c>
      <x:c r="AI5" s="10" t="n">
        <x:f>IFERROR(IF(U5=0,R5,MAX(0,R5-(U5*Summary!$B$2))),0)</x:f>
        <x:v>0</x:v>
      </x:c>
      <x:c r="AJ5" t="str">
        <x:f>IF(AH5="No sales: lower/pause","Waste",IF(AH5="Over target: reduce","Inefficient",IF(AH5="At/under target: scale/hold","Efficient",IF(AND(O5&gt;=1000,Q5=0),"High imp/no click","Data gathering"))))</x:f>
        <x:v>Data gathering</x:v>
      </x:c>
    </x:row>
    <x:row r="6">
      <x:c r="A6" t="s">
        <x:v>22</x:v>
      </x:c>
      <x:c r="B6" t="s">
        <x:v>35</x:v>
      </x:c>
      <x:c r="C6" t="s">
        <x:v>22</x:v>
      </x:c>
      <x:c r="D6" t="s">
        <x:v>24</x:v>
      </x:c>
      <x:c r="E6" t="s">
        <x:v>30</x:v>
      </x:c>
      <x:c r="F6" t="s">
        <x:v>26</x:v>
      </x:c>
      <x:c r="G6" t="s">
        <x:v>27</x:v>
      </x:c>
      <x:c r="H6" t="s">
        <x:v>31</x:v>
      </x:c>
      <x:c r="I6">
        <x:v>28</x:v>
      </x:c>
      <x:c r="L6">
        <x:v>0</x:v>
      </x:c>
      <x:c r="M6">
        <x:v>1.1100000000000001</x:v>
      </x:c>
      <x:c r="N6">
        <x:v>4.2699999999999996</x:v>
      </x:c>
      <x:c r="O6">
        <x:v>323</x:v>
      </x:c>
      <x:c r="P6" s="1" t="s">
        <x:v>36</x:v>
      </x:c>
      <x:c r="Q6">
        <x:v>0</x:v>
      </x:c>
      <x:c r="R6" s="10">
        <x:v>0</x:v>
      </x:c>
      <x:c r="S6">
        <x:v>0</x:v>
      </x:c>
      <x:c r="T6">
        <x:v>0</x:v>
      </x:c>
      <x:c r="U6" s="10">
        <x:v>0</x:v>
      </x:c>
      <x:c r="W6" s="11" t="n">
        <x:f>Summary!$B$2</x:f>
        <x:v>0.15</x:v>
      </x:c>
      <x:c r="X6" s="11" t="n">
        <x:f>IFERROR(AD6-Summary!$B$2,"")</x:f>
        <x:v>-0.15</x:v>
      </x:c>
      <x:c r="Y6" s="10" t="str">
        <x:f>IFERROR((U6/Q6)*Summary!$B$2,"")</x:f>
      </x:c>
      <x:c r="Z6" s="12" t="n">
        <x:f>IFERROR(Q6/O6,0)</x:f>
        <x:v>0</x:v>
      </x:c>
      <x:c r="AA6" s="12" t="n">
        <x:f>IFERROR(T6/Q6,0)</x:f>
        <x:v>0</x:v>
      </x:c>
      <x:c r="AB6" s="10" t="n">
        <x:f>IFERROR(R6/Q6,0)</x:f>
        <x:v>0</x:v>
      </x:c>
      <x:c r="AC6" s="10" t="n">
        <x:f>IFERROR(U6/R6,0)</x:f>
        <x:v>0</x:v>
      </x:c>
      <x:c r="AD6" s="12" t="n">
        <x:f>IFERROR(R6/U6,0)</x:f>
        <x:v>0</x:v>
      </x:c>
      <x:c r="AE6" s="10" t="n">
        <x:f>IFERROR(U6/Q6,0)</x:f>
        <x:v>0</x:v>
      </x:c>
      <x:c r="AF6" s="10" t="n">
        <x:f>IF(Q6=0,M6,IF(U6=0,IF(Q6&gt;=10,MAX(0.02,M6*0.7),M6),IF(AD6=0,M6,MAX(0.02,IF(AD6&gt;Summary!$B$2,M6*Summary!$B$2/AD6,MIN(M6*1.2,M6*Summary!$B$2/AD6))))))</x:f>
        <x:v>1.11</x:v>
      </x:c>
      <x:c r="AG6" s="11" t="n">
        <x:f>IFERROR(AF6/M6-1,0)</x:f>
        <x:v>0</x:v>
      </x:c>
      <x:c r="AH6" t="str">
        <x:f>IF(Q6=0,"Need clicks",IF(AND(U6=0,Q6&gt;=10),"No sales: lower/pause",IF(AND(AD6&gt;Summary!$B$2,T6&gt;0),"Over target: reduce",IF(AND(AD6&lt;=Summary!$B$2,T6&gt;0),"At/under target: scale/hold",IF(AND(Q6&gt;0,T6=0),"Collect data","Review")))))</x:f>
        <x:v>Need clicks</x:v>
      </x:c>
      <x:c r="AI6" s="10" t="n">
        <x:f>IFERROR(IF(U6=0,R6,MAX(0,R6-(U6*Summary!$B$2))),0)</x:f>
        <x:v>0</x:v>
      </x:c>
      <x:c r="AJ6" t="str">
        <x:f>IF(AH6="No sales: lower/pause","Waste",IF(AH6="Over target: reduce","Inefficient",IF(AH6="At/under target: scale/hold","Efficient",IF(AND(O6&gt;=1000,Q6=0),"High imp/no click","Data gathering"))))</x:f>
        <x:v>Data gathering</x:v>
      </x:c>
    </x:row>
    <x:row r="7">
      <x:c r="A7" t="s">
        <x:v>22</x:v>
      </x:c>
      <x:c r="B7" t="s">
        <x:v>37</x:v>
      </x:c>
      <x:c r="C7" t="s">
        <x:v>22</x:v>
      </x:c>
      <x:c r="D7" t="s">
        <x:v>24</x:v>
      </x:c>
      <x:c r="E7" t="s">
        <x:v>30</x:v>
      </x:c>
      <x:c r="F7" t="s">
        <x:v>26</x:v>
      </x:c>
      <x:c r="G7" t="s">
        <x:v>27</x:v>
      </x:c>
      <x:c r="H7" t="s">
        <x:v>31</x:v>
      </x:c>
      <x:c r="I7">
        <x:v>28</x:v>
      </x:c>
      <x:c r="L7">
        <x:v>0</x:v>
      </x:c>
      <x:c r="M7">
        <x:v>1.18</x:v>
      </x:c>
      <x:c r="N7">
        <x:v>1.44</x:v>
      </x:c>
      <x:c r="O7">
        <x:v>1925</x:v>
      </x:c>
      <x:c r="P7">
        <x:v>1.2569656848367999E-2</x:v>
      </x:c>
      <x:c r="Q7">
        <x:v>0</x:v>
      </x:c>
      <x:c r="R7" s="10">
        <x:v>0</x:v>
      </x:c>
      <x:c r="S7">
        <x:v>0</x:v>
      </x:c>
      <x:c r="T7">
        <x:v>0</x:v>
      </x:c>
      <x:c r="U7" s="10">
        <x:v>0</x:v>
      </x:c>
      <x:c r="W7" s="11" t="n">
        <x:f>Summary!$B$2</x:f>
        <x:v>0.15</x:v>
      </x:c>
      <x:c r="X7" s="11" t="n">
        <x:f>IFERROR(AD7-Summary!$B$2,"")</x:f>
        <x:v>-0.15</x:v>
      </x:c>
      <x:c r="Y7" s="10" t="str">
        <x:f>IFERROR((U7/Q7)*Summary!$B$2,"")</x:f>
      </x:c>
      <x:c r="Z7" s="12" t="n">
        <x:f>IFERROR(Q7/O7,0)</x:f>
        <x:v>0</x:v>
      </x:c>
      <x:c r="AA7" s="12" t="n">
        <x:f>IFERROR(T7/Q7,0)</x:f>
        <x:v>0</x:v>
      </x:c>
      <x:c r="AB7" s="10" t="n">
        <x:f>IFERROR(R7/Q7,0)</x:f>
        <x:v>0</x:v>
      </x:c>
      <x:c r="AC7" s="10" t="n">
        <x:f>IFERROR(U7/R7,0)</x:f>
        <x:v>0</x:v>
      </x:c>
      <x:c r="AD7" s="12" t="n">
        <x:f>IFERROR(R7/U7,0)</x:f>
        <x:v>0</x:v>
      </x:c>
      <x:c r="AE7" s="10" t="n">
        <x:f>IFERROR(U7/Q7,0)</x:f>
        <x:v>0</x:v>
      </x:c>
      <x:c r="AF7" s="10" t="n">
        <x:f>IF(Q7=0,M7,IF(U7=0,IF(Q7&gt;=10,MAX(0.02,M7*0.7),M7),IF(AD7=0,M7,MAX(0.02,IF(AD7&gt;Summary!$B$2,M7*Summary!$B$2/AD7,MIN(M7*1.2,M7*Summary!$B$2/AD7))))))</x:f>
        <x:v>1.18</x:v>
      </x:c>
      <x:c r="AG7" s="11" t="n">
        <x:f>IFERROR(AF7/M7-1,0)</x:f>
        <x:v>0</x:v>
      </x:c>
      <x:c r="AH7" t="str">
        <x:f>IF(Q7=0,"Need clicks",IF(AND(U7=0,Q7&gt;=10),"No sales: lower/pause",IF(AND(AD7&gt;Summary!$B$2,T7&gt;0),"Over target: reduce",IF(AND(AD7&lt;=Summary!$B$2,T7&gt;0),"At/under target: scale/hold",IF(AND(Q7&gt;0,T7=0),"Collect data","Review")))))</x:f>
        <x:v>Need clicks</x:v>
      </x:c>
      <x:c r="AI7" s="10" t="n">
        <x:f>IFERROR(IF(U7=0,R7,MAX(0,R7-(U7*Summary!$B$2))),0)</x:f>
        <x:v>0</x:v>
      </x:c>
      <x:c r="AJ7" t="str">
        <x:f>IF(AH7="No sales: lower/pause","Waste",IF(AH7="Over target: reduce","Inefficient",IF(AH7="At/under target: scale/hold","Efficient",IF(AND(O7&gt;=1000,Q7=0),"High imp/no click","Data gathering"))))</x:f>
        <x:v>High imp/no click</x:v>
      </x:c>
    </x:row>
    <x:row r="8">
      <x:c r="A8" t="s">
        <x:v>22</x:v>
      </x:c>
      <x:c r="B8" t="s">
        <x:v>38</x:v>
      </x:c>
      <x:c r="C8" t="s">
        <x:v>22</x:v>
      </x:c>
      <x:c r="D8" t="s">
        <x:v>39</x:v>
      </x:c>
      <x:c r="E8" t="s">
        <x:v>40</x:v>
      </x:c>
      <x:c r="F8" t="s">
        <x:v>26</x:v>
      </x:c>
      <x:c r="G8" t="s">
        <x:v>27</x:v>
      </x:c>
      <x:c r="H8" t="s">
        <x:v>41</x:v>
      </x:c>
      <x:c r="I8">
        <x:v>19</x:v>
      </x:c>
      <x:c r="L8">
        <x:v>0</x:v>
      </x:c>
      <x:c r="M8">
        <x:v>3.1</x:v>
      </x:c>
      <x:c r="N8">
        <x:v>8.7799999999999994</x:v>
      </x:c>
      <x:c r="O8">
        <x:v>240</x:v>
      </x:c>
      <x:c r="P8" s="1" t="s">
        <x:v>42</x:v>
      </x:c>
      <x:c r="Q8">
        <x:v>0</x:v>
      </x:c>
      <x:c r="R8" s="10">
        <x:v>0</x:v>
      </x:c>
      <x:c r="S8">
        <x:v>0</x:v>
      </x:c>
      <x:c r="T8">
        <x:v>0</x:v>
      </x:c>
      <x:c r="U8" s="10">
        <x:v>0</x:v>
      </x:c>
      <x:c r="W8" s="11" t="n">
        <x:f>Summary!$B$2</x:f>
        <x:v>0.15</x:v>
      </x:c>
      <x:c r="X8" s="11" t="n">
        <x:f>IFERROR(AD8-Summary!$B$2,"")</x:f>
        <x:v>-0.15</x:v>
      </x:c>
      <x:c r="Y8" s="10" t="str">
        <x:f>IFERROR((U8/Q8)*Summary!$B$2,"")</x:f>
      </x:c>
      <x:c r="Z8" s="12" t="n">
        <x:f>IFERROR(Q8/O8,0)</x:f>
        <x:v>0</x:v>
      </x:c>
      <x:c r="AA8" s="12" t="n">
        <x:f>IFERROR(T8/Q8,0)</x:f>
        <x:v>0</x:v>
      </x:c>
      <x:c r="AB8" s="10" t="n">
        <x:f>IFERROR(R8/Q8,0)</x:f>
        <x:v>0</x:v>
      </x:c>
      <x:c r="AC8" s="10" t="n">
        <x:f>IFERROR(U8/R8,0)</x:f>
        <x:v>0</x:v>
      </x:c>
      <x:c r="AD8" s="12" t="n">
        <x:f>IFERROR(R8/U8,0)</x:f>
        <x:v>0</x:v>
      </x:c>
      <x:c r="AE8" s="10" t="n">
        <x:f>IFERROR(U8/Q8,0)</x:f>
        <x:v>0</x:v>
      </x:c>
      <x:c r="AF8" s="10" t="n">
        <x:f>IF(Q8=0,M8,IF(U8=0,IF(Q8&gt;=10,MAX(0.02,M8*0.7),M8),IF(AD8=0,M8,MAX(0.02,IF(AD8&gt;Summary!$B$2,M8*Summary!$B$2/AD8,MIN(M8*1.2,M8*Summary!$B$2/AD8))))))</x:f>
        <x:v>3.1</x:v>
      </x:c>
      <x:c r="AG8" s="11" t="n">
        <x:f>IFERROR(AF8/M8-1,0)</x:f>
        <x:v>0</x:v>
      </x:c>
      <x:c r="AH8" t="str">
        <x:f>IF(Q8=0,"Need clicks",IF(AND(U8=0,Q8&gt;=10),"No sales: lower/pause",IF(AND(AD8&gt;Summary!$B$2,T8&gt;0),"Over target: reduce",IF(AND(AD8&lt;=Summary!$B$2,T8&gt;0),"At/under target: scale/hold",IF(AND(Q8&gt;0,T8=0),"Collect data","Review")))))</x:f>
        <x:v>Need clicks</x:v>
      </x:c>
      <x:c r="AI8" s="10" t="n">
        <x:f>IFERROR(IF(U8=0,R8,MAX(0,R8-(U8*Summary!$B$2))),0)</x:f>
        <x:v>0</x:v>
      </x:c>
      <x:c r="AJ8" t="str">
        <x:f>IF(AH8="No sales: lower/pause","Waste",IF(AH8="Over target: reduce","Inefficient",IF(AH8="At/under target: scale/hold","Efficient",IF(AND(O8&gt;=1000,Q8=0),"High imp/no click","Data gathering"))))</x:f>
        <x:v>Data gathering</x:v>
      </x:c>
    </x:row>
    <x:row r="9">
      <x:c r="A9" t="s">
        <x:v>22</x:v>
      </x:c>
      <x:c r="B9" t="s">
        <x:v>43</x:v>
      </x:c>
      <x:c r="C9" t="s">
        <x:v>22</x:v>
      </x:c>
      <x:c r="D9" t="s">
        <x:v>39</x:v>
      </x:c>
      <x:c r="E9" t="s">
        <x:v>44</x:v>
      </x:c>
      <x:c r="F9" t="s">
        <x:v>26</x:v>
      </x:c>
      <x:c r="G9" t="s">
        <x:v>27</x:v>
      </x:c>
      <x:c r="H9" t="s">
        <x:v>45</x:v>
      </x:c>
      <x:c r="I9">
        <x:v>36</x:v>
      </x:c>
      <x:c r="L9">
        <x:v>0</x:v>
      </x:c>
      <x:c r="M9">
        <x:v>0.15</x:v>
      </x:c>
      <x:c r="N9">
        <x:v>1.72</x:v>
      </x:c>
      <x:c r="O9">
        <x:v>8</x:v>
      </x:c>
      <x:c r="P9">
        <x:v>0</x:v>
      </x:c>
      <x:c r="Q9">
        <x:v>0</x:v>
      </x:c>
      <x:c r="R9" s="10">
        <x:v>0</x:v>
      </x:c>
      <x:c r="S9">
        <x:v>0</x:v>
      </x:c>
      <x:c r="T9">
        <x:v>0</x:v>
      </x:c>
      <x:c r="U9" s="10">
        <x:v>0</x:v>
      </x:c>
      <x:c r="W9" s="11" t="n">
        <x:f>Summary!$B$2</x:f>
        <x:v>0.15</x:v>
      </x:c>
      <x:c r="X9" s="11" t="n">
        <x:f>IFERROR(AD9-Summary!$B$2,"")</x:f>
        <x:v>-0.15</x:v>
      </x:c>
      <x:c r="Y9" s="10" t="str">
        <x:f>IFERROR((U9/Q9)*Summary!$B$2,"")</x:f>
      </x:c>
      <x:c r="Z9" s="12" t="n">
        <x:f>IFERROR(Q9/O9,0)</x:f>
        <x:v>0</x:v>
      </x:c>
      <x:c r="AA9" s="12" t="n">
        <x:f>IFERROR(T9/Q9,0)</x:f>
        <x:v>0</x:v>
      </x:c>
      <x:c r="AB9" s="10" t="n">
        <x:f>IFERROR(R9/Q9,0)</x:f>
        <x:v>0</x:v>
      </x:c>
      <x:c r="AC9" s="10" t="n">
        <x:f>IFERROR(U9/R9,0)</x:f>
        <x:v>0</x:v>
      </x:c>
      <x:c r="AD9" s="12" t="n">
        <x:f>IFERROR(R9/U9,0)</x:f>
        <x:v>0</x:v>
      </x:c>
      <x:c r="AE9" s="10" t="n">
        <x:f>IFERROR(U9/Q9,0)</x:f>
        <x:v>0</x:v>
      </x:c>
      <x:c r="AF9" s="10" t="n">
        <x:f>IF(Q9=0,M9,IF(U9=0,IF(Q9&gt;=10,MAX(0.02,M9*0.7),M9),IF(AD9=0,M9,MAX(0.02,IF(AD9&gt;Summary!$B$2,M9*Summary!$B$2/AD9,MIN(M9*1.2,M9*Summary!$B$2/AD9))))))</x:f>
        <x:v>0.15</x:v>
      </x:c>
      <x:c r="AG9" s="11" t="n">
        <x:f>IFERROR(AF9/M9-1,0)</x:f>
        <x:v>0</x:v>
      </x:c>
      <x:c r="AH9" t="str">
        <x:f>IF(Q9=0,"Need clicks",IF(AND(U9=0,Q9&gt;=10),"No sales: lower/pause",IF(AND(AD9&gt;Summary!$B$2,T9&gt;0),"Over target: reduce",IF(AND(AD9&lt;=Summary!$B$2,T9&gt;0),"At/under target: scale/hold",IF(AND(Q9&gt;0,T9=0),"Collect data","Review")))))</x:f>
        <x:v>Need clicks</x:v>
      </x:c>
      <x:c r="AI9" s="10" t="n">
        <x:f>IFERROR(IF(U9=0,R9,MAX(0,R9-(U9*Summary!$B$2))),0)</x:f>
        <x:v>0</x:v>
      </x:c>
      <x:c r="AJ9" t="str">
        <x:f>IF(AH9="No sales: lower/pause","Waste",IF(AH9="Over target: reduce","Inefficient",IF(AH9="At/under target: scale/hold","Efficient",IF(AND(O9&gt;=1000,Q9=0),"High imp/no click","Data gathering"))))</x:f>
        <x:v>Data gathering</x:v>
      </x:c>
    </x:row>
    <x:row r="10">
      <x:c r="A10" t="s">
        <x:v>22</x:v>
      </x:c>
      <x:c r="B10" t="s">
        <x:v>46</x:v>
      </x:c>
      <x:c r="C10" t="s">
        <x:v>22</x:v>
      </x:c>
      <x:c r="D10" t="s">
        <x:v>39</x:v>
      </x:c>
      <x:c r="E10" t="s">
        <x:v>44</x:v>
      </x:c>
      <x:c r="F10" t="s">
        <x:v>26</x:v>
      </x:c>
      <x:c r="G10" t="s">
        <x:v>27</x:v>
      </x:c>
      <x:c r="H10" t="s">
        <x:v>45</x:v>
      </x:c>
      <x:c r="I10">
        <x:v>36</x:v>
      </x:c>
      <x:c r="L10">
        <x:v>0</x:v>
      </x:c>
      <x:c r="M10">
        <x:v>0.26</x:v>
      </x:c>
      <x:c r="N10">
        <x:v>2.2599999999999998</x:v>
      </x:c>
      <x:c r="O10">
        <x:v>112</x:v>
      </x:c>
      <x:c r="P10">
        <x:v>0</x:v>
      </x:c>
      <x:c r="Q10">
        <x:v>0</x:v>
      </x:c>
      <x:c r="R10" s="10">
        <x:v>0</x:v>
      </x:c>
      <x:c r="S10">
        <x:v>0</x:v>
      </x:c>
      <x:c r="T10">
        <x:v>0</x:v>
      </x:c>
      <x:c r="U10" s="10">
        <x:v>0</x:v>
      </x:c>
      <x:c r="W10" s="11" t="n">
        <x:f>Summary!$B$2</x:f>
        <x:v>0.15</x:v>
      </x:c>
      <x:c r="X10" s="11" t="n">
        <x:f>IFERROR(AD10-Summary!$B$2,"")</x:f>
        <x:v>-0.15</x:v>
      </x:c>
      <x:c r="Y10" s="10" t="str">
        <x:f>IFERROR((U10/Q10)*Summary!$B$2,"")</x:f>
      </x:c>
      <x:c r="Z10" s="12" t="n">
        <x:f>IFERROR(Q10/O10,0)</x:f>
        <x:v>0</x:v>
      </x:c>
      <x:c r="AA10" s="12" t="n">
        <x:f>IFERROR(T10/Q10,0)</x:f>
        <x:v>0</x:v>
      </x:c>
      <x:c r="AB10" s="10" t="n">
        <x:f>IFERROR(R10/Q10,0)</x:f>
        <x:v>0</x:v>
      </x:c>
      <x:c r="AC10" s="10" t="n">
        <x:f>IFERROR(U10/R10,0)</x:f>
        <x:v>0</x:v>
      </x:c>
      <x:c r="AD10" s="12" t="n">
        <x:f>IFERROR(R10/U10,0)</x:f>
        <x:v>0</x:v>
      </x:c>
      <x:c r="AE10" s="10" t="n">
        <x:f>IFERROR(U10/Q10,0)</x:f>
        <x:v>0</x:v>
      </x:c>
      <x:c r="AF10" s="10" t="n">
        <x:f>IF(Q10=0,M10,IF(U10=0,IF(Q10&gt;=10,MAX(0.02,M10*0.7),M10),IF(AD10=0,M10,MAX(0.02,IF(AD10&gt;Summary!$B$2,M10*Summary!$B$2/AD10,MIN(M10*1.2,M10*Summary!$B$2/AD10))))))</x:f>
        <x:v>0.26</x:v>
      </x:c>
      <x:c r="AG10" s="11" t="n">
        <x:f>IFERROR(AF10/M10-1,0)</x:f>
        <x:v>0</x:v>
      </x:c>
      <x:c r="AH10" t="str">
        <x:f>IF(Q10=0,"Need clicks",IF(AND(U10=0,Q10&gt;=10),"No sales: lower/pause",IF(AND(AD10&gt;Summary!$B$2,T10&gt;0),"Over target: reduce",IF(AND(AD10&lt;=Summary!$B$2,T10&gt;0),"At/under target: scale/hold",IF(AND(Q10&gt;0,T10=0),"Collect data","Review")))))</x:f>
        <x:v>Need clicks</x:v>
      </x:c>
      <x:c r="AI10" s="10" t="n">
        <x:f>IFERROR(IF(U10=0,R10,MAX(0,R10-(U10*Summary!$B$2))),0)</x:f>
        <x:v>0</x:v>
      </x:c>
      <x:c r="AJ10" t="str">
        <x:f>IF(AH10="No sales: lower/pause","Waste",IF(AH10="Over target: reduce","Inefficient",IF(AH10="At/under target: scale/hold","Efficient",IF(AND(O10&gt;=1000,Q10=0),"High imp/no click","Data gathering"))))</x:f>
        <x:v>Data gathering</x:v>
      </x:c>
    </x:row>
    <x:row r="11">
      <x:c r="A11" t="s">
        <x:v>22</x:v>
      </x:c>
      <x:c r="B11" t="s">
        <x:v>47</x:v>
      </x:c>
      <x:c r="C11" t="s">
        <x:v>22</x:v>
      </x:c>
      <x:c r="D11" t="s">
        <x:v>39</x:v>
      </x:c>
      <x:c r="E11" t="s">
        <x:v>44</x:v>
      </x:c>
      <x:c r="F11" t="s">
        <x:v>26</x:v>
      </x:c>
      <x:c r="G11" t="s">
        <x:v>27</x:v>
      </x:c>
      <x:c r="H11" t="s">
        <x:v>45</x:v>
      </x:c>
      <x:c r="I11">
        <x:v>36</x:v>
      </x:c>
      <x:c r="L11">
        <x:v>0</x:v>
      </x:c>
      <x:c r="M11">
        <x:v>0.04</x:v>
      </x:c>
      <x:c r="N11">
        <x:v>1.64</x:v>
      </x:c>
      <x:c r="O11">
        <x:v>2</x:v>
      </x:c>
      <x:c r="P11">
        <x:v>0</x:v>
      </x:c>
      <x:c r="Q11">
        <x:v>0</x:v>
      </x:c>
      <x:c r="R11" s="10">
        <x:v>0</x:v>
      </x:c>
      <x:c r="S11">
        <x:v>0</x:v>
      </x:c>
      <x:c r="T11">
        <x:v>0</x:v>
      </x:c>
      <x:c r="U11" s="10">
        <x:v>0</x:v>
      </x:c>
      <x:c r="W11" s="11" t="n">
        <x:f>Summary!$B$2</x:f>
        <x:v>0.15</x:v>
      </x:c>
      <x:c r="X11" s="11" t="n">
        <x:f>IFERROR(AD11-Summary!$B$2,"")</x:f>
        <x:v>-0.15</x:v>
      </x:c>
      <x:c r="Y11" s="10" t="str">
        <x:f>IFERROR((U11/Q11)*Summary!$B$2,"")</x:f>
      </x:c>
      <x:c r="Z11" s="12" t="n">
        <x:f>IFERROR(Q11/O11,0)</x:f>
        <x:v>0</x:v>
      </x:c>
      <x:c r="AA11" s="12" t="n">
        <x:f>IFERROR(T11/Q11,0)</x:f>
        <x:v>0</x:v>
      </x:c>
      <x:c r="AB11" s="10" t="n">
        <x:f>IFERROR(R11/Q11,0)</x:f>
        <x:v>0</x:v>
      </x:c>
      <x:c r="AC11" s="10" t="n">
        <x:f>IFERROR(U11/R11,0)</x:f>
        <x:v>0</x:v>
      </x:c>
      <x:c r="AD11" s="12" t="n">
        <x:f>IFERROR(R11/U11,0)</x:f>
        <x:v>0</x:v>
      </x:c>
      <x:c r="AE11" s="10" t="n">
        <x:f>IFERROR(U11/Q11,0)</x:f>
        <x:v>0</x:v>
      </x:c>
      <x:c r="AF11" s="10" t="n">
        <x:f>IF(Q11=0,M11,IF(U11=0,IF(Q11&gt;=10,MAX(0.02,M11*0.7),M11),IF(AD11=0,M11,MAX(0.02,IF(AD11&gt;Summary!$B$2,M11*Summary!$B$2/AD11,MIN(M11*1.2,M11*Summary!$B$2/AD11))))))</x:f>
        <x:v>0.04</x:v>
      </x:c>
      <x:c r="AG11" s="11" t="n">
        <x:f>IFERROR(AF11/M11-1,0)</x:f>
        <x:v>0</x:v>
      </x:c>
      <x:c r="AH11" t="str">
        <x:f>IF(Q11=0,"Need clicks",IF(AND(U11=0,Q11&gt;=10),"No sales: lower/pause",IF(AND(AD11&gt;Summary!$B$2,T11&gt;0),"Over target: reduce",IF(AND(AD11&lt;=Summary!$B$2,T11&gt;0),"At/under target: scale/hold",IF(AND(Q11&gt;0,T11=0),"Collect data","Review")))))</x:f>
        <x:v>Need clicks</x:v>
      </x:c>
      <x:c r="AI11" s="10" t="n">
        <x:f>IFERROR(IF(U11=0,R11,MAX(0,R11-(U11*Summary!$B$2))),0)</x:f>
        <x:v>0</x:v>
      </x:c>
      <x:c r="AJ11" t="str">
        <x:f>IF(AH11="No sales: lower/pause","Waste",IF(AH11="Over target: reduce","Inefficient",IF(AH11="At/under target: scale/hold","Efficient",IF(AND(O11&gt;=1000,Q11=0),"High imp/no click","Data gathering"))))</x:f>
        <x:v>Data gathering</x:v>
      </x:c>
    </x:row>
    <x:row r="12">
      <x:c r="A12" t="s">
        <x:v>22</x:v>
      </x:c>
      <x:c r="B12" t="s">
        <x:v>48</x:v>
      </x:c>
      <x:c r="C12" t="s">
        <x:v>22</x:v>
      </x:c>
      <x:c r="D12" t="s">
        <x:v>39</x:v>
      </x:c>
      <x:c r="E12" t="s">
        <x:v>44</x:v>
      </x:c>
      <x:c r="F12" t="s">
        <x:v>26</x:v>
      </x:c>
      <x:c r="G12" t="s">
        <x:v>27</x:v>
      </x:c>
      <x:c r="H12" t="s">
        <x:v>45</x:v>
      </x:c>
      <x:c r="I12">
        <x:v>36</x:v>
      </x:c>
      <x:c r="L12">
        <x:v>0</x:v>
      </x:c>
      <x:c r="M12">
        <x:v>2.15</x:v>
      </x:c>
      <x:c r="N12">
        <x:v>2.15</x:v>
      </x:c>
      <x:c r="O12">
        <x:v>2106</x:v>
      </x:c>
      <x:c r="P12">
        <x:v>3.8848529583155201E-3</x:v>
      </x:c>
      <x:c r="Q12">
        <x:v>0</x:v>
      </x:c>
      <x:c r="R12" s="10">
        <x:v>0</x:v>
      </x:c>
      <x:c r="S12">
        <x:v>0</x:v>
      </x:c>
      <x:c r="T12">
        <x:v>0</x:v>
      </x:c>
      <x:c r="U12" s="10">
        <x:v>0</x:v>
      </x:c>
      <x:c r="W12" s="11" t="n">
        <x:f>Summary!$B$2</x:f>
        <x:v>0.15</x:v>
      </x:c>
      <x:c r="X12" s="11" t="n">
        <x:f>IFERROR(AD12-Summary!$B$2,"")</x:f>
        <x:v>-0.15</x:v>
      </x:c>
      <x:c r="Y12" s="10" t="str">
        <x:f>IFERROR((U12/Q12)*Summary!$B$2,"")</x:f>
      </x:c>
      <x:c r="Z12" s="12" t="n">
        <x:f>IFERROR(Q12/O12,0)</x:f>
        <x:v>0</x:v>
      </x:c>
      <x:c r="AA12" s="12" t="n">
        <x:f>IFERROR(T12/Q12,0)</x:f>
        <x:v>0</x:v>
      </x:c>
      <x:c r="AB12" s="10" t="n">
        <x:f>IFERROR(R12/Q12,0)</x:f>
        <x:v>0</x:v>
      </x:c>
      <x:c r="AC12" s="10" t="n">
        <x:f>IFERROR(U12/R12,0)</x:f>
        <x:v>0</x:v>
      </x:c>
      <x:c r="AD12" s="12" t="n">
        <x:f>IFERROR(R12/U12,0)</x:f>
        <x:v>0</x:v>
      </x:c>
      <x:c r="AE12" s="10" t="n">
        <x:f>IFERROR(U12/Q12,0)</x:f>
        <x:v>0</x:v>
      </x:c>
      <x:c r="AF12" s="10" t="n">
        <x:f>IF(Q12=0,M12,IF(U12=0,IF(Q12&gt;=10,MAX(0.02,M12*0.7),M12),IF(AD12=0,M12,MAX(0.02,IF(AD12&gt;Summary!$B$2,M12*Summary!$B$2/AD12,MIN(M12*1.2,M12*Summary!$B$2/AD12))))))</x:f>
        <x:v>2.15</x:v>
      </x:c>
      <x:c r="AG12" s="11" t="n">
        <x:f>IFERROR(AF12/M12-1,0)</x:f>
        <x:v>0</x:v>
      </x:c>
      <x:c r="AH12" t="str">
        <x:f>IF(Q12=0,"Need clicks",IF(AND(U12=0,Q12&gt;=10),"No sales: lower/pause",IF(AND(AD12&gt;Summary!$B$2,T12&gt;0),"Over target: reduce",IF(AND(AD12&lt;=Summary!$B$2,T12&gt;0),"At/under target: scale/hold",IF(AND(Q12&gt;0,T12=0),"Collect data","Review")))))</x:f>
        <x:v>Need clicks</x:v>
      </x:c>
      <x:c r="AI12" s="10" t="n">
        <x:f>IFERROR(IF(U12=0,R12,MAX(0,R12-(U12*Summary!$B$2))),0)</x:f>
        <x:v>0</x:v>
      </x:c>
      <x:c r="AJ12" t="str">
        <x:f>IF(AH12="No sales: lower/pause","Waste",IF(AH12="Over target: reduce","Inefficient",IF(AH12="At/under target: scale/hold","Efficient",IF(AND(O12&gt;=1000,Q12=0),"High imp/no click","Data gathering"))))</x:f>
        <x:v>High imp/no click</x:v>
      </x:c>
    </x:row>
    <x:row r="13">
      <x:c r="A13" t="s">
        <x:v>22</x:v>
      </x:c>
      <x:c r="B13" t="s">
        <x:v>49</x:v>
      </x:c>
      <x:c r="C13" t="s">
        <x:v>22</x:v>
      </x:c>
      <x:c r="D13" t="s">
        <x:v>39</x:v>
      </x:c>
      <x:c r="E13" t="s">
        <x:v>44</x:v>
      </x:c>
      <x:c r="F13" t="s">
        <x:v>26</x:v>
      </x:c>
      <x:c r="G13" t="s">
        <x:v>27</x:v>
      </x:c>
      <x:c r="H13" t="s">
        <x:v>45</x:v>
      </x:c>
      <x:c r="I13">
        <x:v>36</x:v>
      </x:c>
      <x:c r="L13">
        <x:v>0</x:v>
      </x:c>
      <x:c r="M13">
        <x:v>0.3</x:v>
      </x:c>
      <x:c r="N13">
        <x:v>1.67</x:v>
      </x:c>
      <x:c r="O13">
        <x:v>28</x:v>
      </x:c>
      <x:c r="P13">
        <x:v>0</x:v>
      </x:c>
      <x:c r="Q13">
        <x:v>0</x:v>
      </x:c>
      <x:c r="R13" s="10">
        <x:v>0</x:v>
      </x:c>
      <x:c r="S13">
        <x:v>0</x:v>
      </x:c>
      <x:c r="T13">
        <x:v>0</x:v>
      </x:c>
      <x:c r="U13" s="10">
        <x:v>0</x:v>
      </x:c>
      <x:c r="W13" s="11" t="n">
        <x:f>Summary!$B$2</x:f>
        <x:v>0.15</x:v>
      </x:c>
      <x:c r="X13" s="11" t="n">
        <x:f>IFERROR(AD13-Summary!$B$2,"")</x:f>
        <x:v>-0.15</x:v>
      </x:c>
      <x:c r="Y13" s="10" t="str">
        <x:f>IFERROR((U13/Q13)*Summary!$B$2,"")</x:f>
      </x:c>
      <x:c r="Z13" s="12" t="n">
        <x:f>IFERROR(Q13/O13,0)</x:f>
        <x:v>0</x:v>
      </x:c>
      <x:c r="AA13" s="12" t="n">
        <x:f>IFERROR(T13/Q13,0)</x:f>
        <x:v>0</x:v>
      </x:c>
      <x:c r="AB13" s="10" t="n">
        <x:f>IFERROR(R13/Q13,0)</x:f>
        <x:v>0</x:v>
      </x:c>
      <x:c r="AC13" s="10" t="n">
        <x:f>IFERROR(U13/R13,0)</x:f>
        <x:v>0</x:v>
      </x:c>
      <x:c r="AD13" s="12" t="n">
        <x:f>IFERROR(R13/U13,0)</x:f>
        <x:v>0</x:v>
      </x:c>
      <x:c r="AE13" s="10" t="n">
        <x:f>IFERROR(U13/Q13,0)</x:f>
        <x:v>0</x:v>
      </x:c>
      <x:c r="AF13" s="10" t="n">
        <x:f>IF(Q13=0,M13,IF(U13=0,IF(Q13&gt;=10,MAX(0.02,M13*0.7),M13),IF(AD13=0,M13,MAX(0.02,IF(AD13&gt;Summary!$B$2,M13*Summary!$B$2/AD13,MIN(M13*1.2,M13*Summary!$B$2/AD13))))))</x:f>
        <x:v>0.3</x:v>
      </x:c>
      <x:c r="AG13" s="11" t="n">
        <x:f>IFERROR(AF13/M13-1,0)</x:f>
        <x:v>0</x:v>
      </x:c>
      <x:c r="AH13" t="str">
        <x:f>IF(Q13=0,"Need clicks",IF(AND(U13=0,Q13&gt;=10),"No sales: lower/pause",IF(AND(AD13&gt;Summary!$B$2,T13&gt;0),"Over target: reduce",IF(AND(AD13&lt;=Summary!$B$2,T13&gt;0),"At/under target: scale/hold",IF(AND(Q13&gt;0,T13=0),"Collect data","Review")))))</x:f>
        <x:v>Need clicks</x:v>
      </x:c>
      <x:c r="AI13" s="10" t="n">
        <x:f>IFERROR(IF(U13=0,R13,MAX(0,R13-(U13*Summary!$B$2))),0)</x:f>
        <x:v>0</x:v>
      </x:c>
      <x:c r="AJ13" t="str">
        <x:f>IF(AH13="No sales: lower/pause","Waste",IF(AH13="Over target: reduce","Inefficient",IF(AH13="At/under target: scale/hold","Efficient",IF(AND(O13&gt;=1000,Q13=0),"High imp/no click","Data gathering"))))</x:f>
        <x:v>Data gathering</x:v>
      </x:c>
    </x:row>
    <x:row r="14">
      <x:c r="A14" t="s">
        <x:v>22</x:v>
      </x:c>
      <x:c r="B14" t="s">
        <x:v>50</x:v>
      </x:c>
      <x:c r="C14" t="s">
        <x:v>22</x:v>
      </x:c>
      <x:c r="D14" t="s">
        <x:v>39</x:v>
      </x:c>
      <x:c r="E14" t="s">
        <x:v>44</x:v>
      </x:c>
      <x:c r="F14" t="s">
        <x:v>26</x:v>
      </x:c>
      <x:c r="G14" t="s">
        <x:v>27</x:v>
      </x:c>
      <x:c r="H14" t="s">
        <x:v>45</x:v>
      </x:c>
      <x:c r="I14">
        <x:v>36</x:v>
      </x:c>
      <x:c r="L14">
        <x:v>0</x:v>
      </x:c>
      <x:c r="M14">
        <x:v>0.09</x:v>
      </x:c>
      <x:c r="N14">
        <x:v>2.1800000000000002</x:v>
      </x:c>
      <x:c r="O14">
        <x:v>175</x:v>
      </x:c>
      <x:c r="P14">
        <x:v>0</x:v>
      </x:c>
      <x:c r="Q14">
        <x:v>0</x:v>
      </x:c>
      <x:c r="R14" s="10">
        <x:v>0</x:v>
      </x:c>
      <x:c r="S14">
        <x:v>0</x:v>
      </x:c>
      <x:c r="T14">
        <x:v>0</x:v>
      </x:c>
      <x:c r="U14" s="10">
        <x:v>0</x:v>
      </x:c>
      <x:c r="W14" s="11" t="n">
        <x:f>Summary!$B$2</x:f>
        <x:v>0.15</x:v>
      </x:c>
      <x:c r="X14" s="11" t="n">
        <x:f>IFERROR(AD14-Summary!$B$2,"")</x:f>
        <x:v>-0.15</x:v>
      </x:c>
      <x:c r="Y14" s="10" t="str">
        <x:f>IFERROR((U14/Q14)*Summary!$B$2,"")</x:f>
      </x:c>
      <x:c r="Z14" s="12" t="n">
        <x:f>IFERROR(Q14/O14,0)</x:f>
        <x:v>0</x:v>
      </x:c>
      <x:c r="AA14" s="12" t="n">
        <x:f>IFERROR(T14/Q14,0)</x:f>
        <x:v>0</x:v>
      </x:c>
      <x:c r="AB14" s="10" t="n">
        <x:f>IFERROR(R14/Q14,0)</x:f>
        <x:v>0</x:v>
      </x:c>
      <x:c r="AC14" s="10" t="n">
        <x:f>IFERROR(U14/R14,0)</x:f>
        <x:v>0</x:v>
      </x:c>
      <x:c r="AD14" s="12" t="n">
        <x:f>IFERROR(R14/U14,0)</x:f>
        <x:v>0</x:v>
      </x:c>
      <x:c r="AE14" s="10" t="n">
        <x:f>IFERROR(U14/Q14,0)</x:f>
        <x:v>0</x:v>
      </x:c>
      <x:c r="AF14" s="10" t="n">
        <x:f>IF(Q14=0,M14,IF(U14=0,IF(Q14&gt;=10,MAX(0.02,M14*0.7),M14),IF(AD14=0,M14,MAX(0.02,IF(AD14&gt;Summary!$B$2,M14*Summary!$B$2/AD14,MIN(M14*1.2,M14*Summary!$B$2/AD14))))))</x:f>
        <x:v>0.09</x:v>
      </x:c>
      <x:c r="AG14" s="11" t="n">
        <x:f>IFERROR(AF14/M14-1,0)</x:f>
        <x:v>0</x:v>
      </x:c>
      <x:c r="AH14" t="str">
        <x:f>IF(Q14=0,"Need clicks",IF(AND(U14=0,Q14&gt;=10),"No sales: lower/pause",IF(AND(AD14&gt;Summary!$B$2,T14&gt;0),"Over target: reduce",IF(AND(AD14&lt;=Summary!$B$2,T14&gt;0),"At/under target: scale/hold",IF(AND(Q14&gt;0,T14=0),"Collect data","Review")))))</x:f>
        <x:v>Need clicks</x:v>
      </x:c>
      <x:c r="AI14" s="10" t="n">
        <x:f>IFERROR(IF(U14=0,R14,MAX(0,R14-(U14*Summary!$B$2))),0)</x:f>
        <x:v>0</x:v>
      </x:c>
      <x:c r="AJ14" t="str">
        <x:f>IF(AH14="No sales: lower/pause","Waste",IF(AH14="Over target: reduce","Inefficient",IF(AH14="At/under target: scale/hold","Efficient",IF(AND(O14&gt;=1000,Q14=0),"High imp/no click","Data gathering"))))</x:f>
        <x:v>Data gathering</x:v>
      </x:c>
    </x:row>
    <x:row r="15">
      <x:c r="A15" t="s">
        <x:v>22</x:v>
      </x:c>
      <x:c r="B15" t="s">
        <x:v>51</x:v>
      </x:c>
      <x:c r="C15" t="s">
        <x:v>22</x:v>
      </x:c>
      <x:c r="D15" t="s">
        <x:v>39</x:v>
      </x:c>
      <x:c r="E15" t="s">
        <x:v>44</x:v>
      </x:c>
      <x:c r="F15" t="s">
        <x:v>26</x:v>
      </x:c>
      <x:c r="G15" t="s">
        <x:v>27</x:v>
      </x:c>
      <x:c r="H15" t="s">
        <x:v>45</x:v>
      </x:c>
      <x:c r="I15">
        <x:v>36</x:v>
      </x:c>
      <x:c r="L15">
        <x:v>0</x:v>
      </x:c>
      <x:c r="M15">
        <x:v>0.3</x:v>
      </x:c>
      <x:c r="N15">
        <x:v>1.67</x:v>
      </x:c>
      <x:c r="O15">
        <x:v>5</x:v>
      </x:c>
      <x:c r="P15">
        <x:v>0</x:v>
      </x:c>
      <x:c r="Q15">
        <x:v>0</x:v>
      </x:c>
      <x:c r="R15" s="10">
        <x:v>0</x:v>
      </x:c>
      <x:c r="S15">
        <x:v>0</x:v>
      </x:c>
      <x:c r="T15">
        <x:v>0</x:v>
      </x:c>
      <x:c r="U15" s="10">
        <x:v>0</x:v>
      </x:c>
      <x:c r="W15" s="11" t="n">
        <x:f>Summary!$B$2</x:f>
        <x:v>0.15</x:v>
      </x:c>
      <x:c r="X15" s="11" t="n">
        <x:f>IFERROR(AD15-Summary!$B$2,"")</x:f>
        <x:v>-0.15</x:v>
      </x:c>
      <x:c r="Y15" s="10" t="str">
        <x:f>IFERROR((U15/Q15)*Summary!$B$2,"")</x:f>
      </x:c>
      <x:c r="Z15" s="12" t="n">
        <x:f>IFERROR(Q15/O15,0)</x:f>
        <x:v>0</x:v>
      </x:c>
      <x:c r="AA15" s="12" t="n">
        <x:f>IFERROR(T15/Q15,0)</x:f>
        <x:v>0</x:v>
      </x:c>
      <x:c r="AB15" s="10" t="n">
        <x:f>IFERROR(R15/Q15,0)</x:f>
        <x:v>0</x:v>
      </x:c>
      <x:c r="AC15" s="10" t="n">
        <x:f>IFERROR(U15/R15,0)</x:f>
        <x:v>0</x:v>
      </x:c>
      <x:c r="AD15" s="12" t="n">
        <x:f>IFERROR(R15/U15,0)</x:f>
        <x:v>0</x:v>
      </x:c>
      <x:c r="AE15" s="10" t="n">
        <x:f>IFERROR(U15/Q15,0)</x:f>
        <x:v>0</x:v>
      </x:c>
      <x:c r="AF15" s="10" t="n">
        <x:f>IF(Q15=0,M15,IF(U15=0,IF(Q15&gt;=10,MAX(0.02,M15*0.7),M15),IF(AD15=0,M15,MAX(0.02,IF(AD15&gt;Summary!$B$2,M15*Summary!$B$2/AD15,MIN(M15*1.2,M15*Summary!$B$2/AD15))))))</x:f>
        <x:v>0.3</x:v>
      </x:c>
      <x:c r="AG15" s="11" t="n">
        <x:f>IFERROR(AF15/M15-1,0)</x:f>
        <x:v>0</x:v>
      </x:c>
      <x:c r="AH15" t="str">
        <x:f>IF(Q15=0,"Need clicks",IF(AND(U15=0,Q15&gt;=10),"No sales: lower/pause",IF(AND(AD15&gt;Summary!$B$2,T15&gt;0),"Over target: reduce",IF(AND(AD15&lt;=Summary!$B$2,T15&gt;0),"At/under target: scale/hold",IF(AND(Q15&gt;0,T15=0),"Collect data","Review")))))</x:f>
        <x:v>Need clicks</x:v>
      </x:c>
      <x:c r="AI15" s="10" t="n">
        <x:f>IFERROR(IF(U15=0,R15,MAX(0,R15-(U15*Summary!$B$2))),0)</x:f>
        <x:v>0</x:v>
      </x:c>
      <x:c r="AJ15" t="str">
        <x:f>IF(AH15="No sales: lower/pause","Waste",IF(AH15="Over target: reduce","Inefficient",IF(AH15="At/under target: scale/hold","Efficient",IF(AND(O15&gt;=1000,Q15=0),"High imp/no click","Data gathering"))))</x:f>
        <x:v>Data gathering</x:v>
      </x:c>
    </x:row>
    <x:row r="16">
      <x:c r="A16" t="s">
        <x:v>22</x:v>
      </x:c>
      <x:c r="B16" t="s">
        <x:v>52</x:v>
      </x:c>
      <x:c r="C16" t="s">
        <x:v>22</x:v>
      </x:c>
      <x:c r="D16" t="s">
        <x:v>39</x:v>
      </x:c>
      <x:c r="E16" t="s">
        <x:v>44</x:v>
      </x:c>
      <x:c r="F16" t="s">
        <x:v>26</x:v>
      </x:c>
      <x:c r="G16" t="s">
        <x:v>27</x:v>
      </x:c>
      <x:c r="H16" t="s">
        <x:v>45</x:v>
      </x:c>
      <x:c r="I16">
        <x:v>36</x:v>
      </x:c>
      <x:c r="L16">
        <x:v>0</x:v>
      </x:c>
      <x:c r="M16">
        <x:v>0.48</x:v>
      </x:c>
      <x:c r="N16">
        <x:v>1.65</x:v>
      </x:c>
      <x:c r="O16">
        <x:v>1055</x:v>
      </x:c>
      <x:c r="P16">
        <x:v>0</x:v>
      </x:c>
      <x:c r="Q16">
        <x:v>0</x:v>
      </x:c>
      <x:c r="R16" s="10">
        <x:v>0</x:v>
      </x:c>
      <x:c r="S16">
        <x:v>0</x:v>
      </x:c>
      <x:c r="T16">
        <x:v>0</x:v>
      </x:c>
      <x:c r="U16" s="10">
        <x:v>0</x:v>
      </x:c>
      <x:c r="W16" s="11" t="n">
        <x:f>Summary!$B$2</x:f>
        <x:v>0.15</x:v>
      </x:c>
      <x:c r="X16" s="11" t="n">
        <x:f>IFERROR(AD16-Summary!$B$2,"")</x:f>
        <x:v>-0.15</x:v>
      </x:c>
      <x:c r="Y16" s="10" t="str">
        <x:f>IFERROR((U16/Q16)*Summary!$B$2,"")</x:f>
      </x:c>
      <x:c r="Z16" s="12" t="n">
        <x:f>IFERROR(Q16/O16,0)</x:f>
        <x:v>0</x:v>
      </x:c>
      <x:c r="AA16" s="12" t="n">
        <x:f>IFERROR(T16/Q16,0)</x:f>
        <x:v>0</x:v>
      </x:c>
      <x:c r="AB16" s="10" t="n">
        <x:f>IFERROR(R16/Q16,0)</x:f>
        <x:v>0</x:v>
      </x:c>
      <x:c r="AC16" s="10" t="n">
        <x:f>IFERROR(U16/R16,0)</x:f>
        <x:v>0</x:v>
      </x:c>
      <x:c r="AD16" s="12" t="n">
        <x:f>IFERROR(R16/U16,0)</x:f>
        <x:v>0</x:v>
      </x:c>
      <x:c r="AE16" s="10" t="n">
        <x:f>IFERROR(U16/Q16,0)</x:f>
        <x:v>0</x:v>
      </x:c>
      <x:c r="AF16" s="10" t="n">
        <x:f>IF(Q16=0,M16,IF(U16=0,IF(Q16&gt;=10,MAX(0.02,M16*0.7),M16),IF(AD16=0,M16,MAX(0.02,IF(AD16&gt;Summary!$B$2,M16*Summary!$B$2/AD16,MIN(M16*1.2,M16*Summary!$B$2/AD16))))))</x:f>
        <x:v>0.48</x:v>
      </x:c>
      <x:c r="AG16" s="11" t="n">
        <x:f>IFERROR(AF16/M16-1,0)</x:f>
        <x:v>0</x:v>
      </x:c>
      <x:c r="AH16" t="str">
        <x:f>IF(Q16=0,"Need clicks",IF(AND(U16=0,Q16&gt;=10),"No sales: lower/pause",IF(AND(AD16&gt;Summary!$B$2,T16&gt;0),"Over target: reduce",IF(AND(AD16&lt;=Summary!$B$2,T16&gt;0),"At/under target: scale/hold",IF(AND(Q16&gt;0,T16=0),"Collect data","Review")))))</x:f>
        <x:v>Need clicks</x:v>
      </x:c>
      <x:c r="AI16" s="10" t="n">
        <x:f>IFERROR(IF(U16=0,R16,MAX(0,R16-(U16*Summary!$B$2))),0)</x:f>
        <x:v>0</x:v>
      </x:c>
      <x:c r="AJ16" t="str">
        <x:f>IF(AH16="No sales: lower/pause","Waste",IF(AH16="Over target: reduce","Inefficient",IF(AH16="At/under target: scale/hold","Efficient",IF(AND(O16&gt;=1000,Q16=0),"High imp/no click","Data gathering"))))</x:f>
        <x:v>High imp/no click</x:v>
      </x:c>
    </x:row>
    <x:row r="17">
      <x:c r="A17" t="s">
        <x:v>22</x:v>
      </x:c>
      <x:c r="B17" t="s">
        <x:v>53</x:v>
      </x:c>
      <x:c r="C17" t="s">
        <x:v>22</x:v>
      </x:c>
      <x:c r="D17" t="s">
        <x:v>39</x:v>
      </x:c>
      <x:c r="E17" t="s">
        <x:v>44</x:v>
      </x:c>
      <x:c r="F17" t="s">
        <x:v>26</x:v>
      </x:c>
      <x:c r="G17" t="s">
        <x:v>27</x:v>
      </x:c>
      <x:c r="H17" t="s">
        <x:v>45</x:v>
      </x:c>
      <x:c r="I17">
        <x:v>36</x:v>
      </x:c>
      <x:c r="L17">
        <x:v>0</x:v>
      </x:c>
      <x:c r="M17">
        <x:v>0.06</x:v>
      </x:c>
      <x:c r="N17">
        <x:v>1.65</x:v>
      </x:c>
      <x:c r="O17">
        <x:v>2</x:v>
      </x:c>
      <x:c r="P17">
        <x:v>0</x:v>
      </x:c>
      <x:c r="Q17">
        <x:v>0</x:v>
      </x:c>
      <x:c r="R17" s="10">
        <x:v>0</x:v>
      </x:c>
      <x:c r="S17">
        <x:v>0</x:v>
      </x:c>
      <x:c r="T17">
        <x:v>0</x:v>
      </x:c>
      <x:c r="U17" s="10">
        <x:v>0</x:v>
      </x:c>
      <x:c r="W17" s="11" t="n">
        <x:f>Summary!$B$2</x:f>
        <x:v>0.15</x:v>
      </x:c>
      <x:c r="X17" s="11" t="n">
        <x:f>IFERROR(AD17-Summary!$B$2,"")</x:f>
        <x:v>-0.15</x:v>
      </x:c>
      <x:c r="Y17" s="10" t="str">
        <x:f>IFERROR((U17/Q17)*Summary!$B$2,"")</x:f>
      </x:c>
      <x:c r="Z17" s="12" t="n">
        <x:f>IFERROR(Q17/O17,0)</x:f>
        <x:v>0</x:v>
      </x:c>
      <x:c r="AA17" s="12" t="n">
        <x:f>IFERROR(T17/Q17,0)</x:f>
        <x:v>0</x:v>
      </x:c>
      <x:c r="AB17" s="10" t="n">
        <x:f>IFERROR(R17/Q17,0)</x:f>
        <x:v>0</x:v>
      </x:c>
      <x:c r="AC17" s="10" t="n">
        <x:f>IFERROR(U17/R17,0)</x:f>
        <x:v>0</x:v>
      </x:c>
      <x:c r="AD17" s="12" t="n">
        <x:f>IFERROR(R17/U17,0)</x:f>
        <x:v>0</x:v>
      </x:c>
      <x:c r="AE17" s="10" t="n">
        <x:f>IFERROR(U17/Q17,0)</x:f>
        <x:v>0</x:v>
      </x:c>
      <x:c r="AF17" s="10" t="n">
        <x:f>IF(Q17=0,M17,IF(U17=0,IF(Q17&gt;=10,MAX(0.02,M17*0.7),M17),IF(AD17=0,M17,MAX(0.02,IF(AD17&gt;Summary!$B$2,M17*Summary!$B$2/AD17,MIN(M17*1.2,M17*Summary!$B$2/AD17))))))</x:f>
        <x:v>0.06</x:v>
      </x:c>
      <x:c r="AG17" s="11" t="n">
        <x:f>IFERROR(AF17/M17-1,0)</x:f>
        <x:v>0</x:v>
      </x:c>
      <x:c r="AH17" t="str">
        <x:f>IF(Q17=0,"Need clicks",IF(AND(U17=0,Q17&gt;=10),"No sales: lower/pause",IF(AND(AD17&gt;Summary!$B$2,T17&gt;0),"Over target: reduce",IF(AND(AD17&lt;=Summary!$B$2,T17&gt;0),"At/under target: scale/hold",IF(AND(Q17&gt;0,T17=0),"Collect data","Review")))))</x:f>
        <x:v>Need clicks</x:v>
      </x:c>
      <x:c r="AI17" s="10" t="n">
        <x:f>IFERROR(IF(U17=0,R17,MAX(0,R17-(U17*Summary!$B$2))),0)</x:f>
        <x:v>0</x:v>
      </x:c>
      <x:c r="AJ17" t="str">
        <x:f>IF(AH17="No sales: lower/pause","Waste",IF(AH17="Over target: reduce","Inefficient",IF(AH17="At/under target: scale/hold","Efficient",IF(AND(O17&gt;=1000,Q17=0),"High imp/no click","Data gathering"))))</x:f>
        <x:v>Data gathering</x:v>
      </x:c>
    </x:row>
    <x:row r="18">
      <x:c r="A18" t="s">
        <x:v>22</x:v>
      </x:c>
      <x:c r="B18" t="s">
        <x:v>54</x:v>
      </x:c>
      <x:c r="C18" t="s">
        <x:v>22</x:v>
      </x:c>
      <x:c r="D18" t="s">
        <x:v>39</x:v>
      </x:c>
      <x:c r="E18" t="s">
        <x:v>44</x:v>
      </x:c>
      <x:c r="F18" t="s">
        <x:v>26</x:v>
      </x:c>
      <x:c r="G18" t="s">
        <x:v>27</x:v>
      </x:c>
      <x:c r="H18" t="s">
        <x:v>45</x:v>
      </x:c>
      <x:c r="I18">
        <x:v>36</x:v>
      </x:c>
      <x:c r="L18">
        <x:v>0</x:v>
      </x:c>
      <x:c r="M18">
        <x:v>2.76</x:v>
      </x:c>
      <x:c r="N18">
        <x:v>2.76</x:v>
      </x:c>
      <x:c r="O18">
        <x:v>643</x:v>
      </x:c>
      <x:c r="P18">
        <x:v>0</x:v>
      </x:c>
      <x:c r="Q18">
        <x:v>0</x:v>
      </x:c>
      <x:c r="R18" s="10">
        <x:v>0</x:v>
      </x:c>
      <x:c r="S18">
        <x:v>0</x:v>
      </x:c>
      <x:c r="T18">
        <x:v>0</x:v>
      </x:c>
      <x:c r="U18" s="10">
        <x:v>0</x:v>
      </x:c>
      <x:c r="W18" s="11" t="n">
        <x:f>Summary!$B$2</x:f>
        <x:v>0.15</x:v>
      </x:c>
      <x:c r="X18" s="11" t="n">
        <x:f>IFERROR(AD18-Summary!$B$2,"")</x:f>
        <x:v>-0.15</x:v>
      </x:c>
      <x:c r="Y18" s="10" t="str">
        <x:f>IFERROR((U18/Q18)*Summary!$B$2,"")</x:f>
      </x:c>
      <x:c r="Z18" s="12" t="n">
        <x:f>IFERROR(Q18/O18,0)</x:f>
        <x:v>0</x:v>
      </x:c>
      <x:c r="AA18" s="12" t="n">
        <x:f>IFERROR(T18/Q18,0)</x:f>
        <x:v>0</x:v>
      </x:c>
      <x:c r="AB18" s="10" t="n">
        <x:f>IFERROR(R18/Q18,0)</x:f>
        <x:v>0</x:v>
      </x:c>
      <x:c r="AC18" s="10" t="n">
        <x:f>IFERROR(U18/R18,0)</x:f>
        <x:v>0</x:v>
      </x:c>
      <x:c r="AD18" s="12" t="n">
        <x:f>IFERROR(R18/U18,0)</x:f>
        <x:v>0</x:v>
      </x:c>
      <x:c r="AE18" s="10" t="n">
        <x:f>IFERROR(U18/Q18,0)</x:f>
        <x:v>0</x:v>
      </x:c>
      <x:c r="AF18" s="10" t="n">
        <x:f>IF(Q18=0,M18,IF(U18=0,IF(Q18&gt;=10,MAX(0.02,M18*0.7),M18),IF(AD18=0,M18,MAX(0.02,IF(AD18&gt;Summary!$B$2,M18*Summary!$B$2/AD18,MIN(M18*1.2,M18*Summary!$B$2/AD18))))))</x:f>
        <x:v>2.76</x:v>
      </x:c>
      <x:c r="AG18" s="11" t="n">
        <x:f>IFERROR(AF18/M18-1,0)</x:f>
        <x:v>0</x:v>
      </x:c>
      <x:c r="AH18" t="str">
        <x:f>IF(Q18=0,"Need clicks",IF(AND(U18=0,Q18&gt;=10),"No sales: lower/pause",IF(AND(AD18&gt;Summary!$B$2,T18&gt;0),"Over target: reduce",IF(AND(AD18&lt;=Summary!$B$2,T18&gt;0),"At/under target: scale/hold",IF(AND(Q18&gt;0,T18=0),"Collect data","Review")))))</x:f>
        <x:v>Need clicks</x:v>
      </x:c>
      <x:c r="AI18" s="10" t="n">
        <x:f>IFERROR(IF(U18=0,R18,MAX(0,R18-(U18*Summary!$B$2))),0)</x:f>
        <x:v>0</x:v>
      </x:c>
      <x:c r="AJ18" t="str">
        <x:f>IF(AH18="No sales: lower/pause","Waste",IF(AH18="Over target: reduce","Inefficient",IF(AH18="At/under target: scale/hold","Efficient",IF(AND(O18&gt;=1000,Q18=0),"High imp/no click","Data gathering"))))</x:f>
        <x:v>Data gathering</x:v>
      </x:c>
    </x:row>
    <x:row r="19">
      <x:c r="A19" t="s">
        <x:v>22</x:v>
      </x:c>
      <x:c r="B19" t="s">
        <x:v>55</x:v>
      </x:c>
      <x:c r="C19" t="s">
        <x:v>22</x:v>
      </x:c>
      <x:c r="D19" t="s">
        <x:v>39</x:v>
      </x:c>
      <x:c r="E19" t="s">
        <x:v>44</x:v>
      </x:c>
      <x:c r="F19" t="s">
        <x:v>26</x:v>
      </x:c>
      <x:c r="G19" t="s">
        <x:v>27</x:v>
      </x:c>
      <x:c r="H19" t="s">
        <x:v>45</x:v>
      </x:c>
      <x:c r="I19">
        <x:v>36</x:v>
      </x:c>
      <x:c r="L19">
        <x:v>0</x:v>
      </x:c>
      <x:c r="M19">
        <x:v>0.26</x:v>
      </x:c>
      <x:c r="N19">
        <x:v>2.13</x:v>
      </x:c>
      <x:c r="O19">
        <x:v>11</x:v>
      </x:c>
      <x:c r="P19">
        <x:v>0</x:v>
      </x:c>
      <x:c r="Q19">
        <x:v>0</x:v>
      </x:c>
      <x:c r="R19" s="10">
        <x:v>0</x:v>
      </x:c>
      <x:c r="S19">
        <x:v>0</x:v>
      </x:c>
      <x:c r="T19">
        <x:v>0</x:v>
      </x:c>
      <x:c r="U19" s="10">
        <x:v>0</x:v>
      </x:c>
      <x:c r="W19" s="11" t="n">
        <x:f>Summary!$B$2</x:f>
        <x:v>0.15</x:v>
      </x:c>
      <x:c r="X19" s="11" t="n">
        <x:f>IFERROR(AD19-Summary!$B$2,"")</x:f>
        <x:v>-0.15</x:v>
      </x:c>
      <x:c r="Y19" s="10" t="str">
        <x:f>IFERROR((U19/Q19)*Summary!$B$2,"")</x:f>
      </x:c>
      <x:c r="Z19" s="12" t="n">
        <x:f>IFERROR(Q19/O19,0)</x:f>
        <x:v>0</x:v>
      </x:c>
      <x:c r="AA19" s="12" t="n">
        <x:f>IFERROR(T19/Q19,0)</x:f>
        <x:v>0</x:v>
      </x:c>
      <x:c r="AB19" s="10" t="n">
        <x:f>IFERROR(R19/Q19,0)</x:f>
        <x:v>0</x:v>
      </x:c>
      <x:c r="AC19" s="10" t="n">
        <x:f>IFERROR(U19/R19,0)</x:f>
        <x:v>0</x:v>
      </x:c>
      <x:c r="AD19" s="12" t="n">
        <x:f>IFERROR(R19/U19,0)</x:f>
        <x:v>0</x:v>
      </x:c>
      <x:c r="AE19" s="10" t="n">
        <x:f>IFERROR(U19/Q19,0)</x:f>
        <x:v>0</x:v>
      </x:c>
      <x:c r="AF19" s="10" t="n">
        <x:f>IF(Q19=0,M19,IF(U19=0,IF(Q19&gt;=10,MAX(0.02,M19*0.7),M19),IF(AD19=0,M19,MAX(0.02,IF(AD19&gt;Summary!$B$2,M19*Summary!$B$2/AD19,MIN(M19*1.2,M19*Summary!$B$2/AD19))))))</x:f>
        <x:v>0.26</x:v>
      </x:c>
      <x:c r="AG19" s="11" t="n">
        <x:f>IFERROR(AF19/M19-1,0)</x:f>
        <x:v>0</x:v>
      </x:c>
      <x:c r="AH19" t="str">
        <x:f>IF(Q19=0,"Need clicks",IF(AND(U19=0,Q19&gt;=10),"No sales: lower/pause",IF(AND(AD19&gt;Summary!$B$2,T19&gt;0),"Over target: reduce",IF(AND(AD19&lt;=Summary!$B$2,T19&gt;0),"At/under target: scale/hold",IF(AND(Q19&gt;0,T19=0),"Collect data","Review")))))</x:f>
        <x:v>Need clicks</x:v>
      </x:c>
      <x:c r="AI19" s="10" t="n">
        <x:f>IFERROR(IF(U19=0,R19,MAX(0,R19-(U19*Summary!$B$2))),0)</x:f>
        <x:v>0</x:v>
      </x:c>
      <x:c r="AJ19" t="str">
        <x:f>IF(AH19="No sales: lower/pause","Waste",IF(AH19="Over target: reduce","Inefficient",IF(AH19="At/under target: scale/hold","Efficient",IF(AND(O19&gt;=1000,Q19=0),"High imp/no click","Data gathering"))))</x:f>
        <x:v>Data gathering</x:v>
      </x:c>
    </x:row>
    <x:row r="20">
      <x:c r="A20" t="s">
        <x:v>22</x:v>
      </x:c>
      <x:c r="B20" t="s">
        <x:v>56</x:v>
      </x:c>
      <x:c r="C20" t="s">
        <x:v>22</x:v>
      </x:c>
      <x:c r="D20" t="s">
        <x:v>39</x:v>
      </x:c>
      <x:c r="E20" t="s">
        <x:v>44</x:v>
      </x:c>
      <x:c r="F20" t="s">
        <x:v>26</x:v>
      </x:c>
      <x:c r="G20" t="s">
        <x:v>27</x:v>
      </x:c>
      <x:c r="H20" t="s">
        <x:v>45</x:v>
      </x:c>
      <x:c r="I20">
        <x:v>36</x:v>
      </x:c>
      <x:c r="L20">
        <x:v>0</x:v>
      </x:c>
      <x:c r="M20">
        <x:v>0.3</x:v>
      </x:c>
      <x:c r="N20">
        <x:v>2.0499999999999998</x:v>
      </x:c>
      <x:c r="O20">
        <x:v>139</x:v>
      </x:c>
      <x:c r="P20">
        <x:v>0</x:v>
      </x:c>
      <x:c r="Q20">
        <x:v>0</x:v>
      </x:c>
      <x:c r="R20" s="10">
        <x:v>0</x:v>
      </x:c>
      <x:c r="S20">
        <x:v>0</x:v>
      </x:c>
      <x:c r="T20">
        <x:v>0</x:v>
      </x:c>
      <x:c r="U20" s="10">
        <x:v>0</x:v>
      </x:c>
      <x:c r="W20" s="11" t="n">
        <x:f>Summary!$B$2</x:f>
        <x:v>0.15</x:v>
      </x:c>
      <x:c r="X20" s="11" t="n">
        <x:f>IFERROR(AD20-Summary!$B$2,"")</x:f>
        <x:v>-0.15</x:v>
      </x:c>
      <x:c r="Y20" s="10" t="str">
        <x:f>IFERROR((U20/Q20)*Summary!$B$2,"")</x:f>
      </x:c>
      <x:c r="Z20" s="12" t="n">
        <x:f>IFERROR(Q20/O20,0)</x:f>
        <x:v>0</x:v>
      </x:c>
      <x:c r="AA20" s="12" t="n">
        <x:f>IFERROR(T20/Q20,0)</x:f>
        <x:v>0</x:v>
      </x:c>
      <x:c r="AB20" s="10" t="n">
        <x:f>IFERROR(R20/Q20,0)</x:f>
        <x:v>0</x:v>
      </x:c>
      <x:c r="AC20" s="10" t="n">
        <x:f>IFERROR(U20/R20,0)</x:f>
        <x:v>0</x:v>
      </x:c>
      <x:c r="AD20" s="12" t="n">
        <x:f>IFERROR(R20/U20,0)</x:f>
        <x:v>0</x:v>
      </x:c>
      <x:c r="AE20" s="10" t="n">
        <x:f>IFERROR(U20/Q20,0)</x:f>
        <x:v>0</x:v>
      </x:c>
      <x:c r="AF20" s="10" t="n">
        <x:f>IF(Q20=0,M20,IF(U20=0,IF(Q20&gt;=10,MAX(0.02,M20*0.7),M20),IF(AD20=0,M20,MAX(0.02,IF(AD20&gt;Summary!$B$2,M20*Summary!$B$2/AD20,MIN(M20*1.2,M20*Summary!$B$2/AD20))))))</x:f>
        <x:v>0.3</x:v>
      </x:c>
      <x:c r="AG20" s="11" t="n">
        <x:f>IFERROR(AF20/M20-1,0)</x:f>
        <x:v>0</x:v>
      </x:c>
      <x:c r="AH20" t="str">
        <x:f>IF(Q20=0,"Need clicks",IF(AND(U20=0,Q20&gt;=10),"No sales: lower/pause",IF(AND(AD20&gt;Summary!$B$2,T20&gt;0),"Over target: reduce",IF(AND(AD20&lt;=Summary!$B$2,T20&gt;0),"At/under target: scale/hold",IF(AND(Q20&gt;0,T20=0),"Collect data","Review")))))</x:f>
        <x:v>Need clicks</x:v>
      </x:c>
      <x:c r="AI20" s="10" t="n">
        <x:f>IFERROR(IF(U20=0,R20,MAX(0,R20-(U20*Summary!$B$2))),0)</x:f>
        <x:v>0</x:v>
      </x:c>
      <x:c r="AJ20" t="str">
        <x:f>IF(AH20="No sales: lower/pause","Waste",IF(AH20="Over target: reduce","Inefficient",IF(AH20="At/under target: scale/hold","Efficient",IF(AND(O20&gt;=1000,Q20=0),"High imp/no click","Data gathering"))))</x:f>
        <x:v>Data gathering</x:v>
      </x:c>
    </x:row>
    <x:row r="21">
      <x:c r="A21" t="s">
        <x:v>22</x:v>
      </x:c>
      <x:c r="B21" t="s">
        <x:v>57</x:v>
      </x:c>
      <x:c r="C21" t="s">
        <x:v>22</x:v>
      </x:c>
      <x:c r="D21" t="s">
        <x:v>39</x:v>
      </x:c>
      <x:c r="E21" t="s">
        <x:v>44</x:v>
      </x:c>
      <x:c r="F21" t="s">
        <x:v>26</x:v>
      </x:c>
      <x:c r="G21" t="s">
        <x:v>27</x:v>
      </x:c>
      <x:c r="H21" t="s">
        <x:v>45</x:v>
      </x:c>
      <x:c r="I21">
        <x:v>36</x:v>
      </x:c>
      <x:c r="L21">
        <x:v>0</x:v>
      </x:c>
      <x:c r="M21">
        <x:v>1.7</x:v>
      </x:c>
      <x:c r="N21">
        <x:v>1.7</x:v>
      </x:c>
      <x:c r="O21">
        <x:v>130</x:v>
      </x:c>
      <x:c r="P21" s="1" t="s">
        <x:v>58</x:v>
      </x:c>
      <x:c r="Q21">
        <x:v>0</x:v>
      </x:c>
      <x:c r="R21" s="10">
        <x:v>0</x:v>
      </x:c>
      <x:c r="S21">
        <x:v>0</x:v>
      </x:c>
      <x:c r="T21">
        <x:v>0</x:v>
      </x:c>
      <x:c r="U21" s="10">
        <x:v>0</x:v>
      </x:c>
      <x:c r="W21" s="11" t="n">
        <x:f>Summary!$B$2</x:f>
        <x:v>0.15</x:v>
      </x:c>
      <x:c r="X21" s="11" t="n">
        <x:f>IFERROR(AD21-Summary!$B$2,"")</x:f>
        <x:v>-0.15</x:v>
      </x:c>
      <x:c r="Y21" s="10" t="str">
        <x:f>IFERROR((U21/Q21)*Summary!$B$2,"")</x:f>
      </x:c>
      <x:c r="Z21" s="12" t="n">
        <x:f>IFERROR(Q21/O21,0)</x:f>
        <x:v>0</x:v>
      </x:c>
      <x:c r="AA21" s="12" t="n">
        <x:f>IFERROR(T21/Q21,0)</x:f>
        <x:v>0</x:v>
      </x:c>
      <x:c r="AB21" s="10" t="n">
        <x:f>IFERROR(R21/Q21,0)</x:f>
        <x:v>0</x:v>
      </x:c>
      <x:c r="AC21" s="10" t="n">
        <x:f>IFERROR(U21/R21,0)</x:f>
        <x:v>0</x:v>
      </x:c>
      <x:c r="AD21" s="12" t="n">
        <x:f>IFERROR(R21/U21,0)</x:f>
        <x:v>0</x:v>
      </x:c>
      <x:c r="AE21" s="10" t="n">
        <x:f>IFERROR(U21/Q21,0)</x:f>
        <x:v>0</x:v>
      </x:c>
      <x:c r="AF21" s="10" t="n">
        <x:f>IF(Q21=0,M21,IF(U21=0,IF(Q21&gt;=10,MAX(0.02,M21*0.7),M21),IF(AD21=0,M21,MAX(0.02,IF(AD21&gt;Summary!$B$2,M21*Summary!$B$2/AD21,MIN(M21*1.2,M21*Summary!$B$2/AD21))))))</x:f>
        <x:v>1.7</x:v>
      </x:c>
      <x:c r="AG21" s="11" t="n">
        <x:f>IFERROR(AF21/M21-1,0)</x:f>
        <x:v>0</x:v>
      </x:c>
      <x:c r="AH21" t="str">
        <x:f>IF(Q21=0,"Need clicks",IF(AND(U21=0,Q21&gt;=10),"No sales: lower/pause",IF(AND(AD21&gt;Summary!$B$2,T21&gt;0),"Over target: reduce",IF(AND(AD21&lt;=Summary!$B$2,T21&gt;0),"At/under target: scale/hold",IF(AND(Q21&gt;0,T21=0),"Collect data","Review")))))</x:f>
        <x:v>Need clicks</x:v>
      </x:c>
      <x:c r="AI21" s="10" t="n">
        <x:f>IFERROR(IF(U21=0,R21,MAX(0,R21-(U21*Summary!$B$2))),0)</x:f>
        <x:v>0</x:v>
      </x:c>
      <x:c r="AJ21" t="str">
        <x:f>IF(AH21="No sales: lower/pause","Waste",IF(AH21="Over target: reduce","Inefficient",IF(AH21="At/under target: scale/hold","Efficient",IF(AND(O21&gt;=1000,Q21=0),"High imp/no click","Data gathering"))))</x:f>
        <x:v>Data gathering</x:v>
      </x:c>
    </x:row>
    <x:row r="22">
      <x:c r="A22" t="s">
        <x:v>22</x:v>
      </x:c>
      <x:c r="B22" t="s">
        <x:v>59</x:v>
      </x:c>
      <x:c r="C22" t="s">
        <x:v>22</x:v>
      </x:c>
      <x:c r="D22" t="s">
        <x:v>39</x:v>
      </x:c>
      <x:c r="E22" t="s">
        <x:v>44</x:v>
      </x:c>
      <x:c r="F22" t="s">
        <x:v>26</x:v>
      </x:c>
      <x:c r="G22" t="s">
        <x:v>27</x:v>
      </x:c>
      <x:c r="H22" t="s">
        <x:v>45</x:v>
      </x:c>
      <x:c r="I22">
        <x:v>36</x:v>
      </x:c>
      <x:c r="L22">
        <x:v>0</x:v>
      </x:c>
      <x:c r="M22">
        <x:v>2.2400000000000002</x:v>
      </x:c>
      <x:c r="N22">
        <x:v>2.34</x:v>
      </x:c>
      <x:c r="O22">
        <x:v>122</x:v>
      </x:c>
      <x:c r="P22">
        <x:v>0</x:v>
      </x:c>
      <x:c r="Q22">
        <x:v>0</x:v>
      </x:c>
      <x:c r="R22" s="10">
        <x:v>0</x:v>
      </x:c>
      <x:c r="S22">
        <x:v>0</x:v>
      </x:c>
      <x:c r="T22">
        <x:v>0</x:v>
      </x:c>
      <x:c r="U22" s="10">
        <x:v>0</x:v>
      </x:c>
      <x:c r="W22" s="11" t="n">
        <x:f>Summary!$B$2</x:f>
        <x:v>0.15</x:v>
      </x:c>
      <x:c r="X22" s="11" t="n">
        <x:f>IFERROR(AD22-Summary!$B$2,"")</x:f>
        <x:v>-0.15</x:v>
      </x:c>
      <x:c r="Y22" s="10" t="str">
        <x:f>IFERROR((U22/Q22)*Summary!$B$2,"")</x:f>
      </x:c>
      <x:c r="Z22" s="12" t="n">
        <x:f>IFERROR(Q22/O22,0)</x:f>
        <x:v>0</x:v>
      </x:c>
      <x:c r="AA22" s="12" t="n">
        <x:f>IFERROR(T22/Q22,0)</x:f>
        <x:v>0</x:v>
      </x:c>
      <x:c r="AB22" s="10" t="n">
        <x:f>IFERROR(R22/Q22,0)</x:f>
        <x:v>0</x:v>
      </x:c>
      <x:c r="AC22" s="10" t="n">
        <x:f>IFERROR(U22/R22,0)</x:f>
        <x:v>0</x:v>
      </x:c>
      <x:c r="AD22" s="12" t="n">
        <x:f>IFERROR(R22/U22,0)</x:f>
        <x:v>0</x:v>
      </x:c>
      <x:c r="AE22" s="10" t="n">
        <x:f>IFERROR(U22/Q22,0)</x:f>
        <x:v>0</x:v>
      </x:c>
      <x:c r="AF22" s="10" t="n">
        <x:f>IF(Q22=0,M22,IF(U22=0,IF(Q22&gt;=10,MAX(0.02,M22*0.7),M22),IF(AD22=0,M22,MAX(0.02,IF(AD22&gt;Summary!$B$2,M22*Summary!$B$2/AD22,MIN(M22*1.2,M22*Summary!$B$2/AD22))))))</x:f>
        <x:v>2.24</x:v>
      </x:c>
      <x:c r="AG22" s="11" t="n">
        <x:f>IFERROR(AF22/M22-1,0)</x:f>
        <x:v>0</x:v>
      </x:c>
      <x:c r="AH22" t="str">
        <x:f>IF(Q22=0,"Need clicks",IF(AND(U22=0,Q22&gt;=10),"No sales: lower/pause",IF(AND(AD22&gt;Summary!$B$2,T22&gt;0),"Over target: reduce",IF(AND(AD22&lt;=Summary!$B$2,T22&gt;0),"At/under target: scale/hold",IF(AND(Q22&gt;0,T22=0),"Collect data","Review")))))</x:f>
        <x:v>Need clicks</x:v>
      </x:c>
      <x:c r="AI22" s="10" t="n">
        <x:f>IFERROR(IF(U22=0,R22,MAX(0,R22-(U22*Summary!$B$2))),0)</x:f>
        <x:v>0</x:v>
      </x:c>
      <x:c r="AJ22" t="str">
        <x:f>IF(AH22="No sales: lower/pause","Waste",IF(AH22="Over target: reduce","Inefficient",IF(AH22="At/under target: scale/hold","Efficient",IF(AND(O22&gt;=1000,Q22=0),"High imp/no click","Data gathering"))))</x:f>
        <x:v>Data gathering</x:v>
      </x:c>
    </x:row>
    <x:row r="23">
      <x:c r="A23" t="s">
        <x:v>22</x:v>
      </x:c>
      <x:c r="B23" t="s">
        <x:v>60</x:v>
      </x:c>
      <x:c r="C23" t="s">
        <x:v>22</x:v>
      </x:c>
      <x:c r="D23" t="s">
        <x:v>39</x:v>
      </x:c>
      <x:c r="E23" t="s">
        <x:v>44</x:v>
      </x:c>
      <x:c r="F23" t="s">
        <x:v>26</x:v>
      </x:c>
      <x:c r="G23" t="s">
        <x:v>27</x:v>
      </x:c>
      <x:c r="H23" t="s">
        <x:v>45</x:v>
      </x:c>
      <x:c r="I23">
        <x:v>36</x:v>
      </x:c>
      <x:c r="L23">
        <x:v>0</x:v>
      </x:c>
      <x:c r="M23">
        <x:v>2</x:v>
      </x:c>
      <x:c r="O23">
        <x:v>5</x:v>
      </x:c>
      <x:c r="P23" s="1" t="s">
        <x:v>61</x:v>
      </x:c>
      <x:c r="Q23">
        <x:v>0</x:v>
      </x:c>
      <x:c r="R23" s="10">
        <x:v>0</x:v>
      </x:c>
      <x:c r="S23">
        <x:v>0</x:v>
      </x:c>
      <x:c r="T23">
        <x:v>0</x:v>
      </x:c>
      <x:c r="U23" s="10">
        <x:v>0</x:v>
      </x:c>
      <x:c r="W23" s="11" t="n">
        <x:f>Summary!$B$2</x:f>
        <x:v>0.15</x:v>
      </x:c>
      <x:c r="X23" s="11" t="n">
        <x:f>IFERROR(AD23-Summary!$B$2,"")</x:f>
        <x:v>-0.15</x:v>
      </x:c>
      <x:c r="Y23" s="10" t="str">
        <x:f>IFERROR((U23/Q23)*Summary!$B$2,"")</x:f>
      </x:c>
      <x:c r="Z23" s="12" t="n">
        <x:f>IFERROR(Q23/O23,0)</x:f>
        <x:v>0</x:v>
      </x:c>
      <x:c r="AA23" s="12" t="n">
        <x:f>IFERROR(T23/Q23,0)</x:f>
        <x:v>0</x:v>
      </x:c>
      <x:c r="AB23" s="10" t="n">
        <x:f>IFERROR(R23/Q23,0)</x:f>
        <x:v>0</x:v>
      </x:c>
      <x:c r="AC23" s="10" t="n">
        <x:f>IFERROR(U23/R23,0)</x:f>
        <x:v>0</x:v>
      </x:c>
      <x:c r="AD23" s="12" t="n">
        <x:f>IFERROR(R23/U23,0)</x:f>
        <x:v>0</x:v>
      </x:c>
      <x:c r="AE23" s="10" t="n">
        <x:f>IFERROR(U23/Q23,0)</x:f>
        <x:v>0</x:v>
      </x:c>
      <x:c r="AF23" s="10" t="n">
        <x:f>IF(Q23=0,M23,IF(U23=0,IF(Q23&gt;=10,MAX(0.02,M23*0.7),M23),IF(AD23=0,M23,MAX(0.02,IF(AD23&gt;Summary!$B$2,M23*Summary!$B$2/AD23,MIN(M23*1.2,M23*Summary!$B$2/AD23))))))</x:f>
        <x:v>2</x:v>
      </x:c>
      <x:c r="AG23" s="11" t="n">
        <x:f>IFERROR(AF23/M23-1,0)</x:f>
        <x:v>0</x:v>
      </x:c>
      <x:c r="AH23" t="str">
        <x:f>IF(Q23=0,"Need clicks",IF(AND(U23=0,Q23&gt;=10),"No sales: lower/pause",IF(AND(AD23&gt;Summary!$B$2,T23&gt;0),"Over target: reduce",IF(AND(AD23&lt;=Summary!$B$2,T23&gt;0),"At/under target: scale/hold",IF(AND(Q23&gt;0,T23=0),"Collect data","Review")))))</x:f>
        <x:v>Need clicks</x:v>
      </x:c>
      <x:c r="AI23" s="10" t="n">
        <x:f>IFERROR(IF(U23=0,R23,MAX(0,R23-(U23*Summary!$B$2))),0)</x:f>
        <x:v>0</x:v>
      </x:c>
      <x:c r="AJ23" t="str">
        <x:f>IF(AH23="No sales: lower/pause","Waste",IF(AH23="Over target: reduce","Inefficient",IF(AH23="At/under target: scale/hold","Efficient",IF(AND(O23&gt;=1000,Q23=0),"High imp/no click","Data gathering"))))</x:f>
        <x:v>Data gathering</x:v>
      </x:c>
    </x:row>
    <x:row r="24">
      <x:c r="A24" t="s">
        <x:v>22</x:v>
      </x:c>
      <x:c r="B24" t="s">
        <x:v>62</x:v>
      </x:c>
      <x:c r="C24" t="s">
        <x:v>22</x:v>
      </x:c>
      <x:c r="D24" t="s">
        <x:v>39</x:v>
      </x:c>
      <x:c r="E24" t="s">
        <x:v>63</x:v>
      </x:c>
      <x:c r="F24" t="s">
        <x:v>26</x:v>
      </x:c>
      <x:c r="G24" t="s">
        <x:v>27</x:v>
      </x:c>
      <x:c r="H24" t="s">
        <x:v>64</x:v>
      </x:c>
      <x:c r="I24">
        <x:v>1</x:v>
      </x:c>
      <x:c r="L24">
        <x:v>0</x:v>
      </x:c>
      <x:c r="M24">
        <x:v>2.97</x:v>
      </x:c>
      <x:c r="N24">
        <x:v>4.5599999999999996</x:v>
      </x:c>
      <x:c r="O24">
        <x:v>159</x:v>
      </x:c>
      <x:c r="P24" s="1" t="s">
        <x:v>65</x:v>
      </x:c>
      <x:c r="Q24">
        <x:v>0</x:v>
      </x:c>
      <x:c r="R24" s="10">
        <x:v>0</x:v>
      </x:c>
      <x:c r="S24">
        <x:v>0</x:v>
      </x:c>
      <x:c r="T24">
        <x:v>0</x:v>
      </x:c>
      <x:c r="U24" s="10">
        <x:v>0</x:v>
      </x:c>
      <x:c r="W24" s="11" t="n">
        <x:f>Summary!$B$2</x:f>
        <x:v>0.15</x:v>
      </x:c>
      <x:c r="X24" s="11" t="n">
        <x:f>IFERROR(AD24-Summary!$B$2,"")</x:f>
        <x:v>-0.15</x:v>
      </x:c>
      <x:c r="Y24" s="10" t="str">
        <x:f>IFERROR((U24/Q24)*Summary!$B$2,"")</x:f>
      </x:c>
      <x:c r="Z24" s="12" t="n">
        <x:f>IFERROR(Q24/O24,0)</x:f>
        <x:v>0</x:v>
      </x:c>
      <x:c r="AA24" s="12" t="n">
        <x:f>IFERROR(T24/Q24,0)</x:f>
        <x:v>0</x:v>
      </x:c>
      <x:c r="AB24" s="10" t="n">
        <x:f>IFERROR(R24/Q24,0)</x:f>
        <x:v>0</x:v>
      </x:c>
      <x:c r="AC24" s="10" t="n">
        <x:f>IFERROR(U24/R24,0)</x:f>
        <x:v>0</x:v>
      </x:c>
      <x:c r="AD24" s="12" t="n">
        <x:f>IFERROR(R24/U24,0)</x:f>
        <x:v>0</x:v>
      </x:c>
      <x:c r="AE24" s="10" t="n">
        <x:f>IFERROR(U24/Q24,0)</x:f>
        <x:v>0</x:v>
      </x:c>
      <x:c r="AF24" s="10" t="n">
        <x:f>IF(Q24=0,M24,IF(U24=0,IF(Q24&gt;=10,MAX(0.02,M24*0.7),M24),IF(AD24=0,M24,MAX(0.02,IF(AD24&gt;Summary!$B$2,M24*Summary!$B$2/AD24,MIN(M24*1.2,M24*Summary!$B$2/AD24))))))</x:f>
        <x:v>2.97</x:v>
      </x:c>
      <x:c r="AG24" s="11" t="n">
        <x:f>IFERROR(AF24/M24-1,0)</x:f>
        <x:v>0</x:v>
      </x:c>
      <x:c r="AH24" t="str">
        <x:f>IF(Q24=0,"Need clicks",IF(AND(U24=0,Q24&gt;=10),"No sales: lower/pause",IF(AND(AD24&gt;Summary!$B$2,T24&gt;0),"Over target: reduce",IF(AND(AD24&lt;=Summary!$B$2,T24&gt;0),"At/under target: scale/hold",IF(AND(Q24&gt;0,T24=0),"Collect data","Review")))))</x:f>
        <x:v>Need clicks</x:v>
      </x:c>
      <x:c r="AI24" s="10" t="n">
        <x:f>IFERROR(IF(U24=0,R24,MAX(0,R24-(U24*Summary!$B$2))),0)</x:f>
        <x:v>0</x:v>
      </x:c>
      <x:c r="AJ24" t="str">
        <x:f>IF(AH24="No sales: lower/pause","Waste",IF(AH24="Over target: reduce","Inefficient",IF(AH24="At/under target: scale/hold","Efficient",IF(AND(O24&gt;=1000,Q24=0),"High imp/no click","Data gathering"))))</x:f>
        <x:v>Data gathering</x:v>
      </x:c>
    </x:row>
    <x:row r="25">
      <x:c r="A25" t="s">
        <x:v>22</x:v>
      </x:c>
      <x:c r="B25" t="s">
        <x:v>66</x:v>
      </x:c>
      <x:c r="C25" t="s">
        <x:v>22</x:v>
      </x:c>
      <x:c r="D25" t="s">
        <x:v>39</x:v>
      </x:c>
      <x:c r="E25" t="s">
        <x:v>63</x:v>
      </x:c>
      <x:c r="F25" t="s">
        <x:v>26</x:v>
      </x:c>
      <x:c r="G25" t="s">
        <x:v>27</x:v>
      </x:c>
      <x:c r="H25" t="s">
        <x:v>64</x:v>
      </x:c>
      <x:c r="I25">
        <x:v>1</x:v>
      </x:c>
      <x:c r="L25">
        <x:v>0</x:v>
      </x:c>
      <x:c r="M25">
        <x:v>2.35</x:v>
      </x:c>
      <x:c r="N25">
        <x:v>1.18</x:v>
      </x:c>
      <x:c r="O25">
        <x:v>17</x:v>
      </x:c>
      <x:c r="P25">
        <x:v>0</x:v>
      </x:c>
      <x:c r="Q25">
        <x:v>0</x:v>
      </x:c>
      <x:c r="R25" s="10">
        <x:v>0</x:v>
      </x:c>
      <x:c r="S25">
        <x:v>0</x:v>
      </x:c>
      <x:c r="T25">
        <x:v>0</x:v>
      </x:c>
      <x:c r="U25" s="10">
        <x:v>0</x:v>
      </x:c>
      <x:c r="W25" s="11" t="n">
        <x:f>Summary!$B$2</x:f>
        <x:v>0.15</x:v>
      </x:c>
      <x:c r="X25" s="11" t="n">
        <x:f>IFERROR(AD25-Summary!$B$2,"")</x:f>
        <x:v>-0.15</x:v>
      </x:c>
      <x:c r="Y25" s="10" t="str">
        <x:f>IFERROR((U25/Q25)*Summary!$B$2,"")</x:f>
      </x:c>
      <x:c r="Z25" s="12" t="n">
        <x:f>IFERROR(Q25/O25,0)</x:f>
        <x:v>0</x:v>
      </x:c>
      <x:c r="AA25" s="12" t="n">
        <x:f>IFERROR(T25/Q25,0)</x:f>
        <x:v>0</x:v>
      </x:c>
      <x:c r="AB25" s="10" t="n">
        <x:f>IFERROR(R25/Q25,0)</x:f>
        <x:v>0</x:v>
      </x:c>
      <x:c r="AC25" s="10" t="n">
        <x:f>IFERROR(U25/R25,0)</x:f>
        <x:v>0</x:v>
      </x:c>
      <x:c r="AD25" s="12" t="n">
        <x:f>IFERROR(R25/U25,0)</x:f>
        <x:v>0</x:v>
      </x:c>
      <x:c r="AE25" s="10" t="n">
        <x:f>IFERROR(U25/Q25,0)</x:f>
        <x:v>0</x:v>
      </x:c>
      <x:c r="AF25" s="10" t="n">
        <x:f>IF(Q25=0,M25,IF(U25=0,IF(Q25&gt;=10,MAX(0.02,M25*0.7),M25),IF(AD25=0,M25,MAX(0.02,IF(AD25&gt;Summary!$B$2,M25*Summary!$B$2/AD25,MIN(M25*1.2,M25*Summary!$B$2/AD25))))))</x:f>
        <x:v>2.35</x:v>
      </x:c>
      <x:c r="AG25" s="11" t="n">
        <x:f>IFERROR(AF25/M25-1,0)</x:f>
        <x:v>0</x:v>
      </x:c>
      <x:c r="AH25" t="str">
        <x:f>IF(Q25=0,"Need clicks",IF(AND(U25=0,Q25&gt;=10),"No sales: lower/pause",IF(AND(AD25&gt;Summary!$B$2,T25&gt;0),"Over target: reduce",IF(AND(AD25&lt;=Summary!$B$2,T25&gt;0),"At/under target: scale/hold",IF(AND(Q25&gt;0,T25=0),"Collect data","Review")))))</x:f>
        <x:v>Need clicks</x:v>
      </x:c>
      <x:c r="AI25" s="10" t="n">
        <x:f>IFERROR(IF(U25=0,R25,MAX(0,R25-(U25*Summary!$B$2))),0)</x:f>
        <x:v>0</x:v>
      </x:c>
      <x:c r="AJ25" t="str">
        <x:f>IF(AH25="No sales: lower/pause","Waste",IF(AH25="Over target: reduce","Inefficient",IF(AH25="At/under target: scale/hold","Efficient",IF(AND(O25&gt;=1000,Q25=0),"High imp/no click","Data gathering"))))</x:f>
        <x:v>Data gathering</x:v>
      </x:c>
    </x:row>
    <x:row r="26">
      <x:c r="A26" t="s">
        <x:v>22</x:v>
      </x:c>
      <x:c r="B26" t="s">
        <x:v>67</x:v>
      </x:c>
      <x:c r="C26" t="s">
        <x:v>22</x:v>
      </x:c>
      <x:c r="D26" t="s">
        <x:v>39</x:v>
      </x:c>
      <x:c r="E26" t="s">
        <x:v>63</x:v>
      </x:c>
      <x:c r="F26" t="s">
        <x:v>26</x:v>
      </x:c>
      <x:c r="G26" t="s">
        <x:v>27</x:v>
      </x:c>
      <x:c r="H26" t="s">
        <x:v>64</x:v>
      </x:c>
      <x:c r="I26">
        <x:v>1</x:v>
      </x:c>
      <x:c r="L26">
        <x:v>0</x:v>
      </x:c>
      <x:c r="M26">
        <x:v>1.21</x:v>
      </x:c>
      <x:c r="N26">
        <x:v>1.19</x:v>
      </x:c>
      <x:c r="O26">
        <x:v>1</x:v>
      </x:c>
      <x:c r="P26">
        <x:v>0</x:v>
      </x:c>
      <x:c r="Q26">
        <x:v>0</x:v>
      </x:c>
      <x:c r="R26" s="10">
        <x:v>0</x:v>
      </x:c>
      <x:c r="S26">
        <x:v>0</x:v>
      </x:c>
      <x:c r="T26">
        <x:v>0</x:v>
      </x:c>
      <x:c r="U26" s="10">
        <x:v>0</x:v>
      </x:c>
      <x:c r="W26" s="11" t="n">
        <x:f>Summary!$B$2</x:f>
        <x:v>0.15</x:v>
      </x:c>
      <x:c r="X26" s="11" t="n">
        <x:f>IFERROR(AD26-Summary!$B$2,"")</x:f>
        <x:v>-0.15</x:v>
      </x:c>
      <x:c r="Y26" s="10" t="str">
        <x:f>IFERROR((U26/Q26)*Summary!$B$2,"")</x:f>
      </x:c>
      <x:c r="Z26" s="12" t="n">
        <x:f>IFERROR(Q26/O26,0)</x:f>
        <x:v>0</x:v>
      </x:c>
      <x:c r="AA26" s="12" t="n">
        <x:f>IFERROR(T26/Q26,0)</x:f>
        <x:v>0</x:v>
      </x:c>
      <x:c r="AB26" s="10" t="n">
        <x:f>IFERROR(R26/Q26,0)</x:f>
        <x:v>0</x:v>
      </x:c>
      <x:c r="AC26" s="10" t="n">
        <x:f>IFERROR(U26/R26,0)</x:f>
        <x:v>0</x:v>
      </x:c>
      <x:c r="AD26" s="12" t="n">
        <x:f>IFERROR(R26/U26,0)</x:f>
        <x:v>0</x:v>
      </x:c>
      <x:c r="AE26" s="10" t="n">
        <x:f>IFERROR(U26/Q26,0)</x:f>
        <x:v>0</x:v>
      </x:c>
      <x:c r="AF26" s="10" t="n">
        <x:f>IF(Q26=0,M26,IF(U26=0,IF(Q26&gt;=10,MAX(0.02,M26*0.7),M26),IF(AD26=0,M26,MAX(0.02,IF(AD26&gt;Summary!$B$2,M26*Summary!$B$2/AD26,MIN(M26*1.2,M26*Summary!$B$2/AD26))))))</x:f>
        <x:v>1.21</x:v>
      </x:c>
      <x:c r="AG26" s="11" t="n">
        <x:f>IFERROR(AF26/M26-1,0)</x:f>
        <x:v>0</x:v>
      </x:c>
      <x:c r="AH26" t="str">
        <x:f>IF(Q26=0,"Need clicks",IF(AND(U26=0,Q26&gt;=10),"No sales: lower/pause",IF(AND(AD26&gt;Summary!$B$2,T26&gt;0),"Over target: reduce",IF(AND(AD26&lt;=Summary!$B$2,T26&gt;0),"At/under target: scale/hold",IF(AND(Q26&gt;0,T26=0),"Collect data","Review")))))</x:f>
        <x:v>Need clicks</x:v>
      </x:c>
      <x:c r="AI26" s="10" t="n">
        <x:f>IFERROR(IF(U26=0,R26,MAX(0,R26-(U26*Summary!$B$2))),0)</x:f>
        <x:v>0</x:v>
      </x:c>
      <x:c r="AJ26" t="str">
        <x:f>IF(AH26="No sales: lower/pause","Waste",IF(AH26="Over target: reduce","Inefficient",IF(AH26="At/under target: scale/hold","Efficient",IF(AND(O26&gt;=1000,Q26=0),"High imp/no click","Data gathering"))))</x:f>
        <x:v>Data gathering</x:v>
      </x:c>
    </x:row>
    <x:row r="27">
      <x:c r="A27" t="s">
        <x:v>22</x:v>
      </x:c>
      <x:c r="B27" t="s">
        <x:v>68</x:v>
      </x:c>
      <x:c r="C27" t="s">
        <x:v>22</x:v>
      </x:c>
      <x:c r="D27" t="s">
        <x:v>39</x:v>
      </x:c>
      <x:c r="E27" t="s">
        <x:v>63</x:v>
      </x:c>
      <x:c r="F27" t="s">
        <x:v>26</x:v>
      </x:c>
      <x:c r="G27" t="s">
        <x:v>27</x:v>
      </x:c>
      <x:c r="H27" t="s">
        <x:v>64</x:v>
      </x:c>
      <x:c r="I27">
        <x:v>1</x:v>
      </x:c>
      <x:c r="L27">
        <x:v>0</x:v>
      </x:c>
      <x:c r="M27">
        <x:v>2.56</x:v>
      </x:c>
      <x:c r="N27">
        <x:v>1.84</x:v>
      </x:c>
      <x:c r="O27">
        <x:v>3</x:v>
      </x:c>
      <x:c r="P27">
        <x:v>0</x:v>
      </x:c>
      <x:c r="Q27">
        <x:v>0</x:v>
      </x:c>
      <x:c r="R27" s="10">
        <x:v>0</x:v>
      </x:c>
      <x:c r="S27">
        <x:v>0</x:v>
      </x:c>
      <x:c r="T27">
        <x:v>0</x:v>
      </x:c>
      <x:c r="U27" s="10">
        <x:v>0</x:v>
      </x:c>
      <x:c r="W27" s="11" t="n">
        <x:f>Summary!$B$2</x:f>
        <x:v>0.15</x:v>
      </x:c>
      <x:c r="X27" s="11" t="n">
        <x:f>IFERROR(AD27-Summary!$B$2,"")</x:f>
        <x:v>-0.15</x:v>
      </x:c>
      <x:c r="Y27" s="10" t="str">
        <x:f>IFERROR((U27/Q27)*Summary!$B$2,"")</x:f>
      </x:c>
      <x:c r="Z27" s="12" t="n">
        <x:f>IFERROR(Q27/O27,0)</x:f>
        <x:v>0</x:v>
      </x:c>
      <x:c r="AA27" s="12" t="n">
        <x:f>IFERROR(T27/Q27,0)</x:f>
        <x:v>0</x:v>
      </x:c>
      <x:c r="AB27" s="10" t="n">
        <x:f>IFERROR(R27/Q27,0)</x:f>
        <x:v>0</x:v>
      </x:c>
      <x:c r="AC27" s="10" t="n">
        <x:f>IFERROR(U27/R27,0)</x:f>
        <x:v>0</x:v>
      </x:c>
      <x:c r="AD27" s="12" t="n">
        <x:f>IFERROR(R27/U27,0)</x:f>
        <x:v>0</x:v>
      </x:c>
      <x:c r="AE27" s="10" t="n">
        <x:f>IFERROR(U27/Q27,0)</x:f>
        <x:v>0</x:v>
      </x:c>
      <x:c r="AF27" s="10" t="n">
        <x:f>IF(Q27=0,M27,IF(U27=0,IF(Q27&gt;=10,MAX(0.02,M27*0.7),M27),IF(AD27=0,M27,MAX(0.02,IF(AD27&gt;Summary!$B$2,M27*Summary!$B$2/AD27,MIN(M27*1.2,M27*Summary!$B$2/AD27))))))</x:f>
        <x:v>2.56</x:v>
      </x:c>
      <x:c r="AG27" s="11" t="n">
        <x:f>IFERROR(AF27/M27-1,0)</x:f>
        <x:v>0</x:v>
      </x:c>
      <x:c r="AH27" t="str">
        <x:f>IF(Q27=0,"Need clicks",IF(AND(U27=0,Q27&gt;=10),"No sales: lower/pause",IF(AND(AD27&gt;Summary!$B$2,T27&gt;0),"Over target: reduce",IF(AND(AD27&lt;=Summary!$B$2,T27&gt;0),"At/under target: scale/hold",IF(AND(Q27&gt;0,T27=0),"Collect data","Review")))))</x:f>
        <x:v>Need clicks</x:v>
      </x:c>
      <x:c r="AI27" s="10" t="n">
        <x:f>IFERROR(IF(U27=0,R27,MAX(0,R27-(U27*Summary!$B$2))),0)</x:f>
        <x:v>0</x:v>
      </x:c>
      <x:c r="AJ27" t="str">
        <x:f>IF(AH27="No sales: lower/pause","Waste",IF(AH27="Over target: reduce","Inefficient",IF(AH27="At/under target: scale/hold","Efficient",IF(AND(O27&gt;=1000,Q27=0),"High imp/no click","Data gathering"))))</x:f>
        <x:v>Data gathering</x:v>
      </x:c>
    </x:row>
    <x:row r="28">
      <x:c r="A28" t="s">
        <x:v>22</x:v>
      </x:c>
      <x:c r="B28" t="s">
        <x:v>69</x:v>
      </x:c>
      <x:c r="C28" t="s">
        <x:v>22</x:v>
      </x:c>
      <x:c r="D28" t="s">
        <x:v>39</x:v>
      </x:c>
      <x:c r="E28" t="s">
        <x:v>63</x:v>
      </x:c>
      <x:c r="F28" t="s">
        <x:v>26</x:v>
      </x:c>
      <x:c r="G28" t="s">
        <x:v>27</x:v>
      </x:c>
      <x:c r="H28" t="s">
        <x:v>64</x:v>
      </x:c>
      <x:c r="I28">
        <x:v>1</x:v>
      </x:c>
      <x:c r="L28">
        <x:v>0</x:v>
      </x:c>
      <x:c r="M28">
        <x:v>2.16</x:v>
      </x:c>
      <x:c r="N28">
        <x:v>5.31</x:v>
      </x:c>
      <x:c r="O28">
        <x:v>5</x:v>
      </x:c>
      <x:c r="P28">
        <x:v>0</x:v>
      </x:c>
      <x:c r="Q28">
        <x:v>0</x:v>
      </x:c>
      <x:c r="R28" s="10">
        <x:v>0</x:v>
      </x:c>
      <x:c r="S28">
        <x:v>0</x:v>
      </x:c>
      <x:c r="T28">
        <x:v>0</x:v>
      </x:c>
      <x:c r="U28" s="10">
        <x:v>0</x:v>
      </x:c>
      <x:c r="W28" s="11" t="n">
        <x:f>Summary!$B$2</x:f>
        <x:v>0.15</x:v>
      </x:c>
      <x:c r="X28" s="11" t="n">
        <x:f>IFERROR(AD28-Summary!$B$2,"")</x:f>
        <x:v>-0.15</x:v>
      </x:c>
      <x:c r="Y28" s="10" t="str">
        <x:f>IFERROR((U28/Q28)*Summary!$B$2,"")</x:f>
      </x:c>
      <x:c r="Z28" s="12" t="n">
        <x:f>IFERROR(Q28/O28,0)</x:f>
        <x:v>0</x:v>
      </x:c>
      <x:c r="AA28" s="12" t="n">
        <x:f>IFERROR(T28/Q28,0)</x:f>
        <x:v>0</x:v>
      </x:c>
      <x:c r="AB28" s="10" t="n">
        <x:f>IFERROR(R28/Q28,0)</x:f>
        <x:v>0</x:v>
      </x:c>
      <x:c r="AC28" s="10" t="n">
        <x:f>IFERROR(U28/R28,0)</x:f>
        <x:v>0</x:v>
      </x:c>
      <x:c r="AD28" s="12" t="n">
        <x:f>IFERROR(R28/U28,0)</x:f>
        <x:v>0</x:v>
      </x:c>
      <x:c r="AE28" s="10" t="n">
        <x:f>IFERROR(U28/Q28,0)</x:f>
        <x:v>0</x:v>
      </x:c>
      <x:c r="AF28" s="10" t="n">
        <x:f>IF(Q28=0,M28,IF(U28=0,IF(Q28&gt;=10,MAX(0.02,M28*0.7),M28),IF(AD28=0,M28,MAX(0.02,IF(AD28&gt;Summary!$B$2,M28*Summary!$B$2/AD28,MIN(M28*1.2,M28*Summary!$B$2/AD28))))))</x:f>
        <x:v>2.16</x:v>
      </x:c>
      <x:c r="AG28" s="11" t="n">
        <x:f>IFERROR(AF28/M28-1,0)</x:f>
        <x:v>0</x:v>
      </x:c>
      <x:c r="AH28" t="str">
        <x:f>IF(Q28=0,"Need clicks",IF(AND(U28=0,Q28&gt;=10),"No sales: lower/pause",IF(AND(AD28&gt;Summary!$B$2,T28&gt;0),"Over target: reduce",IF(AND(AD28&lt;=Summary!$B$2,T28&gt;0),"At/under target: scale/hold",IF(AND(Q28&gt;0,T28=0),"Collect data","Review")))))</x:f>
        <x:v>Need clicks</x:v>
      </x:c>
      <x:c r="AI28" s="10" t="n">
        <x:f>IFERROR(IF(U28=0,R28,MAX(0,R28-(U28*Summary!$B$2))),0)</x:f>
        <x:v>0</x:v>
      </x:c>
      <x:c r="AJ28" t="str">
        <x:f>IF(AH28="No sales: lower/pause","Waste",IF(AH28="Over target: reduce","Inefficient",IF(AH28="At/under target: scale/hold","Efficient",IF(AND(O28&gt;=1000,Q28=0),"High imp/no click","Data gathering"))))</x:f>
        <x:v>Data gathering</x:v>
      </x:c>
    </x:row>
    <x:row r="29">
      <x:c r="A29" t="s">
        <x:v>22</x:v>
      </x:c>
      <x:c r="B29" t="s">
        <x:v>70</x:v>
      </x:c>
      <x:c r="C29" t="s">
        <x:v>22</x:v>
      </x:c>
      <x:c r="D29" t="s">
        <x:v>39</x:v>
      </x:c>
      <x:c r="E29" t="s">
        <x:v>63</x:v>
      </x:c>
      <x:c r="F29" t="s">
        <x:v>26</x:v>
      </x:c>
      <x:c r="G29" t="s">
        <x:v>27</x:v>
      </x:c>
      <x:c r="H29" t="s">
        <x:v>64</x:v>
      </x:c>
      <x:c r="I29">
        <x:v>1</x:v>
      </x:c>
      <x:c r="L29">
        <x:v>0</x:v>
      </x:c>
      <x:c r="M29">
        <x:v>1.88</x:v>
      </x:c>
      <x:c r="N29">
        <x:v>1.25</x:v>
      </x:c>
      <x:c r="O29">
        <x:v>4</x:v>
      </x:c>
      <x:c r="P29">
        <x:v>0</x:v>
      </x:c>
      <x:c r="Q29">
        <x:v>0</x:v>
      </x:c>
      <x:c r="R29" s="10">
        <x:v>0</x:v>
      </x:c>
      <x:c r="S29">
        <x:v>0</x:v>
      </x:c>
      <x:c r="T29">
        <x:v>0</x:v>
      </x:c>
      <x:c r="U29" s="10">
        <x:v>0</x:v>
      </x:c>
      <x:c r="W29" s="11" t="n">
        <x:f>Summary!$B$2</x:f>
        <x:v>0.15</x:v>
      </x:c>
      <x:c r="X29" s="11" t="n">
        <x:f>IFERROR(AD29-Summary!$B$2,"")</x:f>
        <x:v>-0.15</x:v>
      </x:c>
      <x:c r="Y29" s="10" t="str">
        <x:f>IFERROR((U29/Q29)*Summary!$B$2,"")</x:f>
      </x:c>
      <x:c r="Z29" s="12" t="n">
        <x:f>IFERROR(Q29/O29,0)</x:f>
        <x:v>0</x:v>
      </x:c>
      <x:c r="AA29" s="12" t="n">
        <x:f>IFERROR(T29/Q29,0)</x:f>
        <x:v>0</x:v>
      </x:c>
      <x:c r="AB29" s="10" t="n">
        <x:f>IFERROR(R29/Q29,0)</x:f>
        <x:v>0</x:v>
      </x:c>
      <x:c r="AC29" s="10" t="n">
        <x:f>IFERROR(U29/R29,0)</x:f>
        <x:v>0</x:v>
      </x:c>
      <x:c r="AD29" s="12" t="n">
        <x:f>IFERROR(R29/U29,0)</x:f>
        <x:v>0</x:v>
      </x:c>
      <x:c r="AE29" s="10" t="n">
        <x:f>IFERROR(U29/Q29,0)</x:f>
        <x:v>0</x:v>
      </x:c>
      <x:c r="AF29" s="10" t="n">
        <x:f>IF(Q29=0,M29,IF(U29=0,IF(Q29&gt;=10,MAX(0.02,M29*0.7),M29),IF(AD29=0,M29,MAX(0.02,IF(AD29&gt;Summary!$B$2,M29*Summary!$B$2/AD29,MIN(M29*1.2,M29*Summary!$B$2/AD29))))))</x:f>
        <x:v>1.88</x:v>
      </x:c>
      <x:c r="AG29" s="11" t="n">
        <x:f>IFERROR(AF29/M29-1,0)</x:f>
        <x:v>0</x:v>
      </x:c>
      <x:c r="AH29" t="str">
        <x:f>IF(Q29=0,"Need clicks",IF(AND(U29=0,Q29&gt;=10),"No sales: lower/pause",IF(AND(AD29&gt;Summary!$B$2,T29&gt;0),"Over target: reduce",IF(AND(AD29&lt;=Summary!$B$2,T29&gt;0),"At/under target: scale/hold",IF(AND(Q29&gt;0,T29=0),"Collect data","Review")))))</x:f>
        <x:v>Need clicks</x:v>
      </x:c>
      <x:c r="AI29" s="10" t="n">
        <x:f>IFERROR(IF(U29=0,R29,MAX(0,R29-(U29*Summary!$B$2))),0)</x:f>
        <x:v>0</x:v>
      </x:c>
      <x:c r="AJ29" t="str">
        <x:f>IF(AH29="No sales: lower/pause","Waste",IF(AH29="Over target: reduce","Inefficient",IF(AH29="At/under target: scale/hold","Efficient",IF(AND(O29&gt;=1000,Q29=0),"High imp/no click","Data gathering"))))</x:f>
        <x:v>Data gathering</x:v>
      </x:c>
    </x:row>
    <x:row r="30">
      <x:c r="A30" t="s">
        <x:v>22</x:v>
      </x:c>
      <x:c r="B30" t="s">
        <x:v>71</x:v>
      </x:c>
      <x:c r="C30" t="s">
        <x:v>22</x:v>
      </x:c>
      <x:c r="D30" t="s">
        <x:v>39</x:v>
      </x:c>
      <x:c r="E30" t="s">
        <x:v>63</x:v>
      </x:c>
      <x:c r="F30" t="s">
        <x:v>26</x:v>
      </x:c>
      <x:c r="G30" t="s">
        <x:v>27</x:v>
      </x:c>
      <x:c r="H30" t="s">
        <x:v>64</x:v>
      </x:c>
      <x:c r="I30">
        <x:v>1</x:v>
      </x:c>
      <x:c r="L30">
        <x:v>0</x:v>
      </x:c>
      <x:c r="M30">
        <x:v>1.4</x:v>
      </x:c>
      <x:c r="N30">
        <x:v>1.59</x:v>
      </x:c>
      <x:c r="O30">
        <x:v>1</x:v>
      </x:c>
      <x:c r="P30">
        <x:v>0</x:v>
      </x:c>
      <x:c r="Q30">
        <x:v>0</x:v>
      </x:c>
      <x:c r="R30" s="10">
        <x:v>0</x:v>
      </x:c>
      <x:c r="S30">
        <x:v>0</x:v>
      </x:c>
      <x:c r="T30">
        <x:v>0</x:v>
      </x:c>
      <x:c r="U30" s="10">
        <x:v>0</x:v>
      </x:c>
      <x:c r="W30" s="11" t="n">
        <x:f>Summary!$B$2</x:f>
        <x:v>0.15</x:v>
      </x:c>
      <x:c r="X30" s="11" t="n">
        <x:f>IFERROR(AD30-Summary!$B$2,"")</x:f>
        <x:v>-0.15</x:v>
      </x:c>
      <x:c r="Y30" s="10" t="str">
        <x:f>IFERROR((U30/Q30)*Summary!$B$2,"")</x:f>
      </x:c>
      <x:c r="Z30" s="12" t="n">
        <x:f>IFERROR(Q30/O30,0)</x:f>
        <x:v>0</x:v>
      </x:c>
      <x:c r="AA30" s="12" t="n">
        <x:f>IFERROR(T30/Q30,0)</x:f>
        <x:v>0</x:v>
      </x:c>
      <x:c r="AB30" s="10" t="n">
        <x:f>IFERROR(R30/Q30,0)</x:f>
        <x:v>0</x:v>
      </x:c>
      <x:c r="AC30" s="10" t="n">
        <x:f>IFERROR(U30/R30,0)</x:f>
        <x:v>0</x:v>
      </x:c>
      <x:c r="AD30" s="12" t="n">
        <x:f>IFERROR(R30/U30,0)</x:f>
        <x:v>0</x:v>
      </x:c>
      <x:c r="AE30" s="10" t="n">
        <x:f>IFERROR(U30/Q30,0)</x:f>
        <x:v>0</x:v>
      </x:c>
      <x:c r="AF30" s="10" t="n">
        <x:f>IF(Q30=0,M30,IF(U30=0,IF(Q30&gt;=10,MAX(0.02,M30*0.7),M30),IF(AD30=0,M30,MAX(0.02,IF(AD30&gt;Summary!$B$2,M30*Summary!$B$2/AD30,MIN(M30*1.2,M30*Summary!$B$2/AD30))))))</x:f>
        <x:v>1.4</x:v>
      </x:c>
      <x:c r="AG30" s="11" t="n">
        <x:f>IFERROR(AF30/M30-1,0)</x:f>
        <x:v>0</x:v>
      </x:c>
      <x:c r="AH30" t="str">
        <x:f>IF(Q30=0,"Need clicks",IF(AND(U30=0,Q30&gt;=10),"No sales: lower/pause",IF(AND(AD30&gt;Summary!$B$2,T30&gt;0),"Over target: reduce",IF(AND(AD30&lt;=Summary!$B$2,T30&gt;0),"At/under target: scale/hold",IF(AND(Q30&gt;0,T30=0),"Collect data","Review")))))</x:f>
        <x:v>Need clicks</x:v>
      </x:c>
      <x:c r="AI30" s="10" t="n">
        <x:f>IFERROR(IF(U30=0,R30,MAX(0,R30-(U30*Summary!$B$2))),0)</x:f>
        <x:v>0</x:v>
      </x:c>
      <x:c r="AJ30" t="str">
        <x:f>IF(AH30="No sales: lower/pause","Waste",IF(AH30="Over target: reduce","Inefficient",IF(AH30="At/under target: scale/hold","Efficient",IF(AND(O30&gt;=1000,Q30=0),"High imp/no click","Data gathering"))))</x:f>
        <x:v>Data gathering</x:v>
      </x:c>
    </x:row>
    <x:row r="31">
      <x:c r="A31" t="s">
        <x:v>22</x:v>
      </x:c>
      <x:c r="B31" t="s">
        <x:v>72</x:v>
      </x:c>
      <x:c r="C31" t="s">
        <x:v>22</x:v>
      </x:c>
      <x:c r="D31" t="s">
        <x:v>39</x:v>
      </x:c>
      <x:c r="E31" t="s">
        <x:v>63</x:v>
      </x:c>
      <x:c r="F31" t="s">
        <x:v>26</x:v>
      </x:c>
      <x:c r="G31" t="s">
        <x:v>27</x:v>
      </x:c>
      <x:c r="H31" t="s">
        <x:v>64</x:v>
      </x:c>
      <x:c r="I31">
        <x:v>1</x:v>
      </x:c>
      <x:c r="L31">
        <x:v>0</x:v>
      </x:c>
      <x:c r="M31">
        <x:v>1.71</x:v>
      </x:c>
      <x:c r="N31">
        <x:v>2.41</x:v>
      </x:c>
      <x:c r="O31">
        <x:v>1</x:v>
      </x:c>
      <x:c r="P31">
        <x:v>0</x:v>
      </x:c>
      <x:c r="Q31">
        <x:v>0</x:v>
      </x:c>
      <x:c r="R31" s="10">
        <x:v>0</x:v>
      </x:c>
      <x:c r="S31">
        <x:v>0</x:v>
      </x:c>
      <x:c r="T31">
        <x:v>0</x:v>
      </x:c>
      <x:c r="U31" s="10">
        <x:v>0</x:v>
      </x:c>
      <x:c r="W31" s="11" t="n">
        <x:f>Summary!$B$2</x:f>
        <x:v>0.15</x:v>
      </x:c>
      <x:c r="X31" s="11" t="n">
        <x:f>IFERROR(AD31-Summary!$B$2,"")</x:f>
        <x:v>-0.15</x:v>
      </x:c>
      <x:c r="Y31" s="10" t="str">
        <x:f>IFERROR((U31/Q31)*Summary!$B$2,"")</x:f>
      </x:c>
      <x:c r="Z31" s="12" t="n">
        <x:f>IFERROR(Q31/O31,0)</x:f>
        <x:v>0</x:v>
      </x:c>
      <x:c r="AA31" s="12" t="n">
        <x:f>IFERROR(T31/Q31,0)</x:f>
        <x:v>0</x:v>
      </x:c>
      <x:c r="AB31" s="10" t="n">
        <x:f>IFERROR(R31/Q31,0)</x:f>
        <x:v>0</x:v>
      </x:c>
      <x:c r="AC31" s="10" t="n">
        <x:f>IFERROR(U31/R31,0)</x:f>
        <x:v>0</x:v>
      </x:c>
      <x:c r="AD31" s="12" t="n">
        <x:f>IFERROR(R31/U31,0)</x:f>
        <x:v>0</x:v>
      </x:c>
      <x:c r="AE31" s="10" t="n">
        <x:f>IFERROR(U31/Q31,0)</x:f>
        <x:v>0</x:v>
      </x:c>
      <x:c r="AF31" s="10" t="n">
        <x:f>IF(Q31=0,M31,IF(U31=0,IF(Q31&gt;=10,MAX(0.02,M31*0.7),M31),IF(AD31=0,M31,MAX(0.02,IF(AD31&gt;Summary!$B$2,M31*Summary!$B$2/AD31,MIN(M31*1.2,M31*Summary!$B$2/AD31))))))</x:f>
        <x:v>1.71</x:v>
      </x:c>
      <x:c r="AG31" s="11" t="n">
        <x:f>IFERROR(AF31/M31-1,0)</x:f>
        <x:v>0</x:v>
      </x:c>
      <x:c r="AH31" t="str">
        <x:f>IF(Q31=0,"Need clicks",IF(AND(U31=0,Q31&gt;=10),"No sales: lower/pause",IF(AND(AD31&gt;Summary!$B$2,T31&gt;0),"Over target: reduce",IF(AND(AD31&lt;=Summary!$B$2,T31&gt;0),"At/under target: scale/hold",IF(AND(Q31&gt;0,T31=0),"Collect data","Review")))))</x:f>
        <x:v>Need clicks</x:v>
      </x:c>
      <x:c r="AI31" s="10" t="n">
        <x:f>IFERROR(IF(U31=0,R31,MAX(0,R31-(U31*Summary!$B$2))),0)</x:f>
        <x:v>0</x:v>
      </x:c>
      <x:c r="AJ31" t="str">
        <x:f>IF(AH31="No sales: lower/pause","Waste",IF(AH31="Over target: reduce","Inefficient",IF(AH31="At/under target: scale/hold","Efficient",IF(AND(O31&gt;=1000,Q31=0),"High imp/no click","Data gathering"))))</x:f>
        <x:v>Data gathering</x:v>
      </x:c>
    </x:row>
    <x:row r="32">
      <x:c r="A32" t="s">
        <x:v>22</x:v>
      </x:c>
      <x:c r="B32" t="s">
        <x:v>73</x:v>
      </x:c>
      <x:c r="C32" t="s">
        <x:v>22</x:v>
      </x:c>
      <x:c r="D32" t="s">
        <x:v>39</x:v>
      </x:c>
      <x:c r="E32" t="s">
        <x:v>63</x:v>
      </x:c>
      <x:c r="F32" t="s">
        <x:v>26</x:v>
      </x:c>
      <x:c r="G32" t="s">
        <x:v>27</x:v>
      </x:c>
      <x:c r="H32" t="s">
        <x:v>64</x:v>
      </x:c>
      <x:c r="I32">
        <x:v>1</x:v>
      </x:c>
      <x:c r="L32">
        <x:v>0</x:v>
      </x:c>
      <x:c r="M32">
        <x:v>1.62</x:v>
      </x:c>
      <x:c r="N32">
        <x:v>1.44</x:v>
      </x:c>
      <x:c r="O32">
        <x:v>1</x:v>
      </x:c>
      <x:c r="P32">
        <x:v>0</x:v>
      </x:c>
      <x:c r="Q32">
        <x:v>0</x:v>
      </x:c>
      <x:c r="R32" s="10">
        <x:v>0</x:v>
      </x:c>
      <x:c r="S32">
        <x:v>0</x:v>
      </x:c>
      <x:c r="T32">
        <x:v>0</x:v>
      </x:c>
      <x:c r="U32" s="10">
        <x:v>0</x:v>
      </x:c>
      <x:c r="W32" s="11" t="n">
        <x:f>Summary!$B$2</x:f>
        <x:v>0.15</x:v>
      </x:c>
      <x:c r="X32" s="11" t="n">
        <x:f>IFERROR(AD32-Summary!$B$2,"")</x:f>
        <x:v>-0.15</x:v>
      </x:c>
      <x:c r="Y32" s="10" t="str">
        <x:f>IFERROR((U32/Q32)*Summary!$B$2,"")</x:f>
      </x:c>
      <x:c r="Z32" s="12" t="n">
        <x:f>IFERROR(Q32/O32,0)</x:f>
        <x:v>0</x:v>
      </x:c>
      <x:c r="AA32" s="12" t="n">
        <x:f>IFERROR(T32/Q32,0)</x:f>
        <x:v>0</x:v>
      </x:c>
      <x:c r="AB32" s="10" t="n">
        <x:f>IFERROR(R32/Q32,0)</x:f>
        <x:v>0</x:v>
      </x:c>
      <x:c r="AC32" s="10" t="n">
        <x:f>IFERROR(U32/R32,0)</x:f>
        <x:v>0</x:v>
      </x:c>
      <x:c r="AD32" s="12" t="n">
        <x:f>IFERROR(R32/U32,0)</x:f>
        <x:v>0</x:v>
      </x:c>
      <x:c r="AE32" s="10" t="n">
        <x:f>IFERROR(U32/Q32,0)</x:f>
        <x:v>0</x:v>
      </x:c>
      <x:c r="AF32" s="10" t="n">
        <x:f>IF(Q32=0,M32,IF(U32=0,IF(Q32&gt;=10,MAX(0.02,M32*0.7),M32),IF(AD32=0,M32,MAX(0.02,IF(AD32&gt;Summary!$B$2,M32*Summary!$B$2/AD32,MIN(M32*1.2,M32*Summary!$B$2/AD32))))))</x:f>
        <x:v>1.62</x:v>
      </x:c>
      <x:c r="AG32" s="11" t="n">
        <x:f>IFERROR(AF32/M32-1,0)</x:f>
        <x:v>0</x:v>
      </x:c>
      <x:c r="AH32" t="str">
        <x:f>IF(Q32=0,"Need clicks",IF(AND(U32=0,Q32&gt;=10),"No sales: lower/pause",IF(AND(AD32&gt;Summary!$B$2,T32&gt;0),"Over target: reduce",IF(AND(AD32&lt;=Summary!$B$2,T32&gt;0),"At/under target: scale/hold",IF(AND(Q32&gt;0,T32=0),"Collect data","Review")))))</x:f>
        <x:v>Need clicks</x:v>
      </x:c>
      <x:c r="AI32" s="10" t="n">
        <x:f>IFERROR(IF(U32=0,R32,MAX(0,R32-(U32*Summary!$B$2))),0)</x:f>
        <x:v>0</x:v>
      </x:c>
      <x:c r="AJ32" t="str">
        <x:f>IF(AH32="No sales: lower/pause","Waste",IF(AH32="Over target: reduce","Inefficient",IF(AH32="At/under target: scale/hold","Efficient",IF(AND(O32&gt;=1000,Q32=0),"High imp/no click","Data gathering"))))</x:f>
        <x:v>Data gathering</x:v>
      </x:c>
    </x:row>
    <x:row r="33">
      <x:c r="A33" t="s">
        <x:v>22</x:v>
      </x:c>
      <x:c r="B33" t="s">
        <x:v>74</x:v>
      </x:c>
      <x:c r="C33" t="s">
        <x:v>22</x:v>
      </x:c>
      <x:c r="D33" t="s">
        <x:v>75</x:v>
      </x:c>
      <x:c r="E33" t="s">
        <x:v>76</x:v>
      </x:c>
      <x:c r="F33" t="s">
        <x:v>26</x:v>
      </x:c>
      <x:c r="G33" t="s">
        <x:v>27</x:v>
      </x:c>
      <x:c r="H33" t="s">
        <x:v>77</x:v>
      </x:c>
      <x:c r="I33">
        <x:v>1</x:v>
      </x:c>
      <x:c r="L33">
        <x:v>0</x:v>
      </x:c>
      <x:c r="M33">
        <x:v>2.1</x:v>
      </x:c>
      <x:c r="O33">
        <x:v>146</x:v>
      </x:c>
      <x:c r="P33">
        <x:v>3.3385137857595101E-2</x:v>
      </x:c>
      <x:c r="Q33">
        <x:v>0</x:v>
      </x:c>
      <x:c r="R33" s="10">
        <x:v>0</x:v>
      </x:c>
      <x:c r="S33">
        <x:v>0</x:v>
      </x:c>
      <x:c r="T33">
        <x:v>0</x:v>
      </x:c>
      <x:c r="U33" s="10">
        <x:v>0</x:v>
      </x:c>
      <x:c r="W33" s="11" t="n">
        <x:f>Summary!$B$2</x:f>
        <x:v>0.15</x:v>
      </x:c>
      <x:c r="X33" s="11" t="n">
        <x:f>IFERROR(AD33-Summary!$B$2,"")</x:f>
        <x:v>-0.15</x:v>
      </x:c>
      <x:c r="Y33" s="10" t="str">
        <x:f>IFERROR((U33/Q33)*Summary!$B$2,"")</x:f>
      </x:c>
      <x:c r="Z33" s="12" t="n">
        <x:f>IFERROR(Q33/O33,0)</x:f>
        <x:v>0</x:v>
      </x:c>
      <x:c r="AA33" s="12" t="n">
        <x:f>IFERROR(T33/Q33,0)</x:f>
        <x:v>0</x:v>
      </x:c>
      <x:c r="AB33" s="10" t="n">
        <x:f>IFERROR(R33/Q33,0)</x:f>
        <x:v>0</x:v>
      </x:c>
      <x:c r="AC33" s="10" t="n">
        <x:f>IFERROR(U33/R33,0)</x:f>
        <x:v>0</x:v>
      </x:c>
      <x:c r="AD33" s="12" t="n">
        <x:f>IFERROR(R33/U33,0)</x:f>
        <x:v>0</x:v>
      </x:c>
      <x:c r="AE33" s="10" t="n">
        <x:f>IFERROR(U33/Q33,0)</x:f>
        <x:v>0</x:v>
      </x:c>
      <x:c r="AF33" s="10" t="n">
        <x:f>IF(Q33=0,M33,IF(U33=0,IF(Q33&gt;=10,MAX(0.02,M33*0.7),M33),IF(AD33=0,M33,MAX(0.02,IF(AD33&gt;Summary!$B$2,M33*Summary!$B$2/AD33,MIN(M33*1.2,M33*Summary!$B$2/AD33))))))</x:f>
        <x:v>2.1</x:v>
      </x:c>
      <x:c r="AG33" s="11" t="n">
        <x:f>IFERROR(AF33/M33-1,0)</x:f>
        <x:v>0</x:v>
      </x:c>
      <x:c r="AH33" t="str">
        <x:f>IF(Q33=0,"Need clicks",IF(AND(U33=0,Q33&gt;=10),"No sales: lower/pause",IF(AND(AD33&gt;Summary!$B$2,T33&gt;0),"Over target: reduce",IF(AND(AD33&lt;=Summary!$B$2,T33&gt;0),"At/under target: scale/hold",IF(AND(Q33&gt;0,T33=0),"Collect data","Review")))))</x:f>
        <x:v>Need clicks</x:v>
      </x:c>
      <x:c r="AI33" s="10" t="n">
        <x:f>IFERROR(IF(U33=0,R33,MAX(0,R33-(U33*Summary!$B$2))),0)</x:f>
        <x:v>0</x:v>
      </x:c>
      <x:c r="AJ33" t="str">
        <x:f>IF(AH33="No sales: lower/pause","Waste",IF(AH33="Over target: reduce","Inefficient",IF(AH33="At/under target: scale/hold","Efficient",IF(AND(O33&gt;=1000,Q33=0),"High imp/no click","Data gathering"))))</x:f>
        <x:v>Data gathering</x:v>
      </x:c>
    </x:row>
    <x:row r="34">
      <x:c r="A34" t="s">
        <x:v>22</x:v>
      </x:c>
      <x:c r="B34" t="s">
        <x:v>78</x:v>
      </x:c>
      <x:c r="C34" t="s">
        <x:v>22</x:v>
      </x:c>
      <x:c r="D34" t="s">
        <x:v>79</x:v>
      </x:c>
      <x:c r="E34" t="s">
        <x:v>76</x:v>
      </x:c>
      <x:c r="F34" t="s">
        <x:v>26</x:v>
      </x:c>
      <x:c r="G34" t="s">
        <x:v>27</x:v>
      </x:c>
      <x:c r="H34" t="s">
        <x:v>80</x:v>
      </x:c>
      <x:c r="I34">
        <x:v>1</x:v>
      </x:c>
      <x:c r="L34">
        <x:v>0</x:v>
      </x:c>
      <x:c r="M34">
        <x:v>0.76</x:v>
      </x:c>
      <x:c r="O34">
        <x:v>2</x:v>
      </x:c>
      <x:c r="P34">
        <x:v>0</x:v>
      </x:c>
      <x:c r="Q34">
        <x:v>0</x:v>
      </x:c>
      <x:c r="R34" s="10">
        <x:v>0</x:v>
      </x:c>
      <x:c r="S34">
        <x:v>0</x:v>
      </x:c>
      <x:c r="T34">
        <x:v>0</x:v>
      </x:c>
      <x:c r="U34" s="10">
        <x:v>0</x:v>
      </x:c>
      <x:c r="W34" s="11" t="n">
        <x:f>Summary!$B$2</x:f>
        <x:v>0.15</x:v>
      </x:c>
      <x:c r="X34" s="11" t="n">
        <x:f>IFERROR(AD34-Summary!$B$2,"")</x:f>
        <x:v>-0.15</x:v>
      </x:c>
      <x:c r="Y34" s="10" t="str">
        <x:f>IFERROR((U34/Q34)*Summary!$B$2,"")</x:f>
      </x:c>
      <x:c r="Z34" s="12" t="n">
        <x:f>IFERROR(Q34/O34,0)</x:f>
        <x:v>0</x:v>
      </x:c>
      <x:c r="AA34" s="12" t="n">
        <x:f>IFERROR(T34/Q34,0)</x:f>
        <x:v>0</x:v>
      </x:c>
      <x:c r="AB34" s="10" t="n">
        <x:f>IFERROR(R34/Q34,0)</x:f>
        <x:v>0</x:v>
      </x:c>
      <x:c r="AC34" s="10" t="n">
        <x:f>IFERROR(U34/R34,0)</x:f>
        <x:v>0</x:v>
      </x:c>
      <x:c r="AD34" s="12" t="n">
        <x:f>IFERROR(R34/U34,0)</x:f>
        <x:v>0</x:v>
      </x:c>
      <x:c r="AE34" s="10" t="n">
        <x:f>IFERROR(U34/Q34,0)</x:f>
        <x:v>0</x:v>
      </x:c>
      <x:c r="AF34" s="10" t="n">
        <x:f>IF(Q34=0,M34,IF(U34=0,IF(Q34&gt;=10,MAX(0.02,M34*0.7),M34),IF(AD34=0,M34,MAX(0.02,IF(AD34&gt;Summary!$B$2,M34*Summary!$B$2/AD34,MIN(M34*1.2,M34*Summary!$B$2/AD34))))))</x:f>
        <x:v>0.76</x:v>
      </x:c>
      <x:c r="AG34" s="11" t="n">
        <x:f>IFERROR(AF34/M34-1,0)</x:f>
        <x:v>0</x:v>
      </x:c>
      <x:c r="AH34" t="str">
        <x:f>IF(Q34=0,"Need clicks",IF(AND(U34=0,Q34&gt;=10),"No sales: lower/pause",IF(AND(AD34&gt;Summary!$B$2,T34&gt;0),"Over target: reduce",IF(AND(AD34&lt;=Summary!$B$2,T34&gt;0),"At/under target: scale/hold",IF(AND(Q34&gt;0,T34=0),"Collect data","Review")))))</x:f>
        <x:v>Need clicks</x:v>
      </x:c>
      <x:c r="AI34" s="10" t="n">
        <x:f>IFERROR(IF(U34=0,R34,MAX(0,R34-(U34*Summary!$B$2))),0)</x:f>
        <x:v>0</x:v>
      </x:c>
      <x:c r="AJ34" t="str">
        <x:f>IF(AH34="No sales: lower/pause","Waste",IF(AH34="Over target: reduce","Inefficient",IF(AH34="At/under target: scale/hold","Efficient",IF(AND(O34&gt;=1000,Q34=0),"High imp/no click","Data gathering"))))</x:f>
        <x:v>Data gathering</x:v>
      </x:c>
    </x:row>
    <x:row r="35">
      <x:c r="A35" t="s">
        <x:v>22</x:v>
      </x:c>
      <x:c r="B35" t="s">
        <x:v>81</x:v>
      </x:c>
      <x:c r="C35" t="s">
        <x:v>22</x:v>
      </x:c>
      <x:c r="D35" t="s">
        <x:v>24</x:v>
      </x:c>
      <x:c r="E35" t="s">
        <x:v>63</x:v>
      </x:c>
      <x:c r="F35" t="s">
        <x:v>26</x:v>
      </x:c>
      <x:c r="G35" t="s">
        <x:v>27</x:v>
      </x:c>
      <x:c r="H35" t="s">
        <x:v>82</x:v>
      </x:c>
      <x:c r="I35">
        <x:v>1</x:v>
      </x:c>
      <x:c r="L35">
        <x:v>0</x:v>
      </x:c>
      <x:c r="M35">
        <x:v>0.03</x:v>
      </x:c>
      <x:c r="N35">
        <x:v>3.73</x:v>
      </x:c>
      <x:c r="O35">
        <x:v>3</x:v>
      </x:c>
      <x:c r="P35">
        <x:v>0</x:v>
      </x:c>
      <x:c r="Q35">
        <x:v>0</x:v>
      </x:c>
      <x:c r="R35" s="10">
        <x:v>0</x:v>
      </x:c>
      <x:c r="S35">
        <x:v>0</x:v>
      </x:c>
      <x:c r="T35">
        <x:v>0</x:v>
      </x:c>
      <x:c r="U35" s="10">
        <x:v>0</x:v>
      </x:c>
      <x:c r="W35" s="11" t="n">
        <x:f>Summary!$B$2</x:f>
        <x:v>0.15</x:v>
      </x:c>
      <x:c r="X35" s="11" t="n">
        <x:f>IFERROR(AD35-Summary!$B$2,"")</x:f>
        <x:v>-0.15</x:v>
      </x:c>
      <x:c r="Y35" s="10" t="str">
        <x:f>IFERROR((U35/Q35)*Summary!$B$2,"")</x:f>
      </x:c>
      <x:c r="Z35" s="12" t="n">
        <x:f>IFERROR(Q35/O35,0)</x:f>
        <x:v>0</x:v>
      </x:c>
      <x:c r="AA35" s="12" t="n">
        <x:f>IFERROR(T35/Q35,0)</x:f>
        <x:v>0</x:v>
      </x:c>
      <x:c r="AB35" s="10" t="n">
        <x:f>IFERROR(R35/Q35,0)</x:f>
        <x:v>0</x:v>
      </x:c>
      <x:c r="AC35" s="10" t="n">
        <x:f>IFERROR(U35/R35,0)</x:f>
        <x:v>0</x:v>
      </x:c>
      <x:c r="AD35" s="12" t="n">
        <x:f>IFERROR(R35/U35,0)</x:f>
        <x:v>0</x:v>
      </x:c>
      <x:c r="AE35" s="10" t="n">
        <x:f>IFERROR(U35/Q35,0)</x:f>
        <x:v>0</x:v>
      </x:c>
      <x:c r="AF35" s="10" t="n">
        <x:f>IF(Q35=0,M35,IF(U35=0,IF(Q35&gt;=10,MAX(0.02,M35*0.7),M35),IF(AD35=0,M35,MAX(0.02,IF(AD35&gt;Summary!$B$2,M35*Summary!$B$2/AD35,MIN(M35*1.2,M35*Summary!$B$2/AD35))))))</x:f>
        <x:v>0.03</x:v>
      </x:c>
      <x:c r="AG35" s="11" t="n">
        <x:f>IFERROR(AF35/M35-1,0)</x:f>
        <x:v>0</x:v>
      </x:c>
      <x:c r="AH35" t="str">
        <x:f>IF(Q35=0,"Need clicks",IF(AND(U35=0,Q35&gt;=10),"No sales: lower/pause",IF(AND(AD35&gt;Summary!$B$2,T35&gt;0),"Over target: reduce",IF(AND(AD35&lt;=Summary!$B$2,T35&gt;0),"At/under target: scale/hold",IF(AND(Q35&gt;0,T35=0),"Collect data","Review")))))</x:f>
        <x:v>Need clicks</x:v>
      </x:c>
      <x:c r="AI35" s="10" t="n">
        <x:f>IFERROR(IF(U35=0,R35,MAX(0,R35-(U35*Summary!$B$2))),0)</x:f>
        <x:v>0</x:v>
      </x:c>
      <x:c r="AJ35" t="str">
        <x:f>IF(AH35="No sales: lower/pause","Waste",IF(AH35="Over target: reduce","Inefficient",IF(AH35="At/under target: scale/hold","Efficient",IF(AND(O35&gt;=1000,Q35=0),"High imp/no click","Data gathering"))))</x:f>
        <x:v>Data gathering</x:v>
      </x:c>
    </x:row>
    <x:row r="36">
      <x:c r="A36" t="s">
        <x:v>22</x:v>
      </x:c>
      <x:c r="B36" t="s">
        <x:v>83</x:v>
      </x:c>
      <x:c r="C36" t="s">
        <x:v>22</x:v>
      </x:c>
      <x:c r="D36" t="s">
        <x:v>24</x:v>
      </x:c>
      <x:c r="E36" t="s">
        <x:v>63</x:v>
      </x:c>
      <x:c r="F36" t="s">
        <x:v>26</x:v>
      </x:c>
      <x:c r="G36" t="s">
        <x:v>27</x:v>
      </x:c>
      <x:c r="H36" t="s">
        <x:v>82</x:v>
      </x:c>
      <x:c r="I36">
        <x:v>1</x:v>
      </x:c>
      <x:c r="L36">
        <x:v>0</x:v>
      </x:c>
      <x:c r="M36">
        <x:v>0.04</x:v>
      </x:c>
      <x:c r="N36">
        <x:v>1.46</x:v>
      </x:c>
      <x:c r="O36">
        <x:v>5</x:v>
      </x:c>
      <x:c r="P36">
        <x:v>0</x:v>
      </x:c>
      <x:c r="Q36">
        <x:v>0</x:v>
      </x:c>
      <x:c r="R36" s="10">
        <x:v>0</x:v>
      </x:c>
      <x:c r="S36">
        <x:v>0</x:v>
      </x:c>
      <x:c r="T36">
        <x:v>0</x:v>
      </x:c>
      <x:c r="U36" s="10">
        <x:v>0</x:v>
      </x:c>
      <x:c r="W36" s="11" t="n">
        <x:f>Summary!$B$2</x:f>
        <x:v>0.15</x:v>
      </x:c>
      <x:c r="X36" s="11" t="n">
        <x:f>IFERROR(AD36-Summary!$B$2,"")</x:f>
        <x:v>-0.15</x:v>
      </x:c>
      <x:c r="Y36" s="10" t="str">
        <x:f>IFERROR((U36/Q36)*Summary!$B$2,"")</x:f>
      </x:c>
      <x:c r="Z36" s="12" t="n">
        <x:f>IFERROR(Q36/O36,0)</x:f>
        <x:v>0</x:v>
      </x:c>
      <x:c r="AA36" s="12" t="n">
        <x:f>IFERROR(T36/Q36,0)</x:f>
        <x:v>0</x:v>
      </x:c>
      <x:c r="AB36" s="10" t="n">
        <x:f>IFERROR(R36/Q36,0)</x:f>
        <x:v>0</x:v>
      </x:c>
      <x:c r="AC36" s="10" t="n">
        <x:f>IFERROR(U36/R36,0)</x:f>
        <x:v>0</x:v>
      </x:c>
      <x:c r="AD36" s="12" t="n">
        <x:f>IFERROR(R36/U36,0)</x:f>
        <x:v>0</x:v>
      </x:c>
      <x:c r="AE36" s="10" t="n">
        <x:f>IFERROR(U36/Q36,0)</x:f>
        <x:v>0</x:v>
      </x:c>
      <x:c r="AF36" s="10" t="n">
        <x:f>IF(Q36=0,M36,IF(U36=0,IF(Q36&gt;=10,MAX(0.02,M36*0.7),M36),IF(AD36=0,M36,MAX(0.02,IF(AD36&gt;Summary!$B$2,M36*Summary!$B$2/AD36,MIN(M36*1.2,M36*Summary!$B$2/AD36))))))</x:f>
        <x:v>0.04</x:v>
      </x:c>
      <x:c r="AG36" s="11" t="n">
        <x:f>IFERROR(AF36/M36-1,0)</x:f>
        <x:v>0</x:v>
      </x:c>
      <x:c r="AH36" t="str">
        <x:f>IF(Q36=0,"Need clicks",IF(AND(U36=0,Q36&gt;=10),"No sales: lower/pause",IF(AND(AD36&gt;Summary!$B$2,T36&gt;0),"Over target: reduce",IF(AND(AD36&lt;=Summary!$B$2,T36&gt;0),"At/under target: scale/hold",IF(AND(Q36&gt;0,T36=0),"Collect data","Review")))))</x:f>
        <x:v>Need clicks</x:v>
      </x:c>
      <x:c r="AI36" s="10" t="n">
        <x:f>IFERROR(IF(U36=0,R36,MAX(0,R36-(U36*Summary!$B$2))),0)</x:f>
        <x:v>0</x:v>
      </x:c>
      <x:c r="AJ36" t="str">
        <x:f>IF(AH36="No sales: lower/pause","Waste",IF(AH36="Over target: reduce","Inefficient",IF(AH36="At/under target: scale/hold","Efficient",IF(AND(O36&gt;=1000,Q36=0),"High imp/no click","Data gathering"))))</x:f>
        <x:v>Data gathering</x:v>
      </x:c>
    </x:row>
    <x:row r="37">
      <x:c r="A37" t="s">
        <x:v>22</x:v>
      </x:c>
      <x:c r="B37" t="s">
        <x:v>84</x:v>
      </x:c>
      <x:c r="C37" t="s">
        <x:v>22</x:v>
      </x:c>
      <x:c r="D37" t="s">
        <x:v>24</x:v>
      </x:c>
      <x:c r="E37" t="s">
        <x:v>63</x:v>
      </x:c>
      <x:c r="F37" t="s">
        <x:v>26</x:v>
      </x:c>
      <x:c r="G37" t="s">
        <x:v>27</x:v>
      </x:c>
      <x:c r="H37" t="s">
        <x:v>82</x:v>
      </x:c>
      <x:c r="I37">
        <x:v>1</x:v>
      </x:c>
      <x:c r="L37">
        <x:v>0</x:v>
      </x:c>
      <x:c r="M37">
        <x:v>0.05</x:v>
      </x:c>
      <x:c r="N37">
        <x:v>2.92</x:v>
      </x:c>
      <x:c r="O37">
        <x:v>5</x:v>
      </x:c>
      <x:c r="P37">
        <x:v>0</x:v>
      </x:c>
      <x:c r="Q37">
        <x:v>0</x:v>
      </x:c>
      <x:c r="R37" s="10">
        <x:v>0</x:v>
      </x:c>
      <x:c r="S37">
        <x:v>0</x:v>
      </x:c>
      <x:c r="T37">
        <x:v>0</x:v>
      </x:c>
      <x:c r="U37" s="10">
        <x:v>0</x:v>
      </x:c>
      <x:c r="W37" s="11" t="n">
        <x:f>Summary!$B$2</x:f>
        <x:v>0.15</x:v>
      </x:c>
      <x:c r="X37" s="11" t="n">
        <x:f>IFERROR(AD37-Summary!$B$2,"")</x:f>
        <x:v>-0.15</x:v>
      </x:c>
      <x:c r="Y37" s="10" t="str">
        <x:f>IFERROR((U37/Q37)*Summary!$B$2,"")</x:f>
      </x:c>
      <x:c r="Z37" s="12" t="n">
        <x:f>IFERROR(Q37/O37,0)</x:f>
        <x:v>0</x:v>
      </x:c>
      <x:c r="AA37" s="12" t="n">
        <x:f>IFERROR(T37/Q37,0)</x:f>
        <x:v>0</x:v>
      </x:c>
      <x:c r="AB37" s="10" t="n">
        <x:f>IFERROR(R37/Q37,0)</x:f>
        <x:v>0</x:v>
      </x:c>
      <x:c r="AC37" s="10" t="n">
        <x:f>IFERROR(U37/R37,0)</x:f>
        <x:v>0</x:v>
      </x:c>
      <x:c r="AD37" s="12" t="n">
        <x:f>IFERROR(R37/U37,0)</x:f>
        <x:v>0</x:v>
      </x:c>
      <x:c r="AE37" s="10" t="n">
        <x:f>IFERROR(U37/Q37,0)</x:f>
        <x:v>0</x:v>
      </x:c>
      <x:c r="AF37" s="10" t="n">
        <x:f>IF(Q37=0,M37,IF(U37=0,IF(Q37&gt;=10,MAX(0.02,M37*0.7),M37),IF(AD37=0,M37,MAX(0.02,IF(AD37&gt;Summary!$B$2,M37*Summary!$B$2/AD37,MIN(M37*1.2,M37*Summary!$B$2/AD37))))))</x:f>
        <x:v>0.05</x:v>
      </x:c>
      <x:c r="AG37" s="11" t="n">
        <x:f>IFERROR(AF37/M37-1,0)</x:f>
        <x:v>0</x:v>
      </x:c>
      <x:c r="AH37" t="str">
        <x:f>IF(Q37=0,"Need clicks",IF(AND(U37=0,Q37&gt;=10),"No sales: lower/pause",IF(AND(AD37&gt;Summary!$B$2,T37&gt;0),"Over target: reduce",IF(AND(AD37&lt;=Summary!$B$2,T37&gt;0),"At/under target: scale/hold",IF(AND(Q37&gt;0,T37=0),"Collect data","Review")))))</x:f>
        <x:v>Need clicks</x:v>
      </x:c>
      <x:c r="AI37" s="10" t="n">
        <x:f>IFERROR(IF(U37=0,R37,MAX(0,R37-(U37*Summary!$B$2))),0)</x:f>
        <x:v>0</x:v>
      </x:c>
      <x:c r="AJ37" t="str">
        <x:f>IF(AH37="No sales: lower/pause","Waste",IF(AH37="Over target: reduce","Inefficient",IF(AH37="At/under target: scale/hold","Efficient",IF(AND(O37&gt;=1000,Q37=0),"High imp/no click","Data gathering"))))</x:f>
        <x:v>Data gathering</x:v>
      </x:c>
    </x:row>
    <x:row r="38">
      <x:c r="A38" t="s">
        <x:v>22</x:v>
      </x:c>
      <x:c r="B38" t="s">
        <x:v>85</x:v>
      </x:c>
      <x:c r="C38" t="s">
        <x:v>22</x:v>
      </x:c>
      <x:c r="D38" t="s">
        <x:v>24</x:v>
      </x:c>
      <x:c r="E38" t="s">
        <x:v>63</x:v>
      </x:c>
      <x:c r="F38" t="s">
        <x:v>26</x:v>
      </x:c>
      <x:c r="G38" t="s">
        <x:v>27</x:v>
      </x:c>
      <x:c r="H38" t="s">
        <x:v>82</x:v>
      </x:c>
      <x:c r="I38">
        <x:v>1</x:v>
      </x:c>
      <x:c r="L38">
        <x:v>0</x:v>
      </x:c>
      <x:c r="M38">
        <x:v>0.03</x:v>
      </x:c>
      <x:c r="N38">
        <x:v>2.44</x:v>
      </x:c>
      <x:c r="O38">
        <x:v>1</x:v>
      </x:c>
      <x:c r="P38">
        <x:v>0</x:v>
      </x:c>
      <x:c r="Q38">
        <x:v>0</x:v>
      </x:c>
      <x:c r="R38" s="10">
        <x:v>0</x:v>
      </x:c>
      <x:c r="S38">
        <x:v>0</x:v>
      </x:c>
      <x:c r="T38">
        <x:v>0</x:v>
      </x:c>
      <x:c r="U38" s="10">
        <x:v>0</x:v>
      </x:c>
      <x:c r="W38" s="11" t="n">
        <x:f>Summary!$B$2</x:f>
        <x:v>0.15</x:v>
      </x:c>
      <x:c r="X38" s="11" t="n">
        <x:f>IFERROR(AD38-Summary!$B$2,"")</x:f>
        <x:v>-0.15</x:v>
      </x:c>
      <x:c r="Y38" s="10" t="str">
        <x:f>IFERROR((U38/Q38)*Summary!$B$2,"")</x:f>
      </x:c>
      <x:c r="Z38" s="12" t="n">
        <x:f>IFERROR(Q38/O38,0)</x:f>
        <x:v>0</x:v>
      </x:c>
      <x:c r="AA38" s="12" t="n">
        <x:f>IFERROR(T38/Q38,0)</x:f>
        <x:v>0</x:v>
      </x:c>
      <x:c r="AB38" s="10" t="n">
        <x:f>IFERROR(R38/Q38,0)</x:f>
        <x:v>0</x:v>
      </x:c>
      <x:c r="AC38" s="10" t="n">
        <x:f>IFERROR(U38/R38,0)</x:f>
        <x:v>0</x:v>
      </x:c>
      <x:c r="AD38" s="12" t="n">
        <x:f>IFERROR(R38/U38,0)</x:f>
        <x:v>0</x:v>
      </x:c>
      <x:c r="AE38" s="10" t="n">
        <x:f>IFERROR(U38/Q38,0)</x:f>
        <x:v>0</x:v>
      </x:c>
      <x:c r="AF38" s="10" t="n">
        <x:f>IF(Q38=0,M38,IF(U38=0,IF(Q38&gt;=10,MAX(0.02,M38*0.7),M38),IF(AD38=0,M38,MAX(0.02,IF(AD38&gt;Summary!$B$2,M38*Summary!$B$2/AD38,MIN(M38*1.2,M38*Summary!$B$2/AD38))))))</x:f>
        <x:v>0.03</x:v>
      </x:c>
      <x:c r="AG38" s="11" t="n">
        <x:f>IFERROR(AF38/M38-1,0)</x:f>
        <x:v>0</x:v>
      </x:c>
      <x:c r="AH38" t="str">
        <x:f>IF(Q38=0,"Need clicks",IF(AND(U38=0,Q38&gt;=10),"No sales: lower/pause",IF(AND(AD38&gt;Summary!$B$2,T38&gt;0),"Over target: reduce",IF(AND(AD38&lt;=Summary!$B$2,T38&gt;0),"At/under target: scale/hold",IF(AND(Q38&gt;0,T38=0),"Collect data","Review")))))</x:f>
        <x:v>Need clicks</x:v>
      </x:c>
      <x:c r="AI38" s="10" t="n">
        <x:f>IFERROR(IF(U38=0,R38,MAX(0,R38-(U38*Summary!$B$2))),0)</x:f>
        <x:v>0</x:v>
      </x:c>
      <x:c r="AJ38" t="str">
        <x:f>IF(AH38="No sales: lower/pause","Waste",IF(AH38="Over target: reduce","Inefficient",IF(AH38="At/under target: scale/hold","Efficient",IF(AND(O38&gt;=1000,Q38=0),"High imp/no click","Data gathering"))))</x:f>
        <x:v>Data gathering</x:v>
      </x:c>
    </x:row>
    <x:row r="39">
      <x:c r="A39" t="s">
        <x:v>22</x:v>
      </x:c>
      <x:c r="B39" t="s">
        <x:v>86</x:v>
      </x:c>
      <x:c r="C39" t="s">
        <x:v>22</x:v>
      </x:c>
      <x:c r="D39" t="s">
        <x:v>24</x:v>
      </x:c>
      <x:c r="E39" t="s">
        <x:v>63</x:v>
      </x:c>
      <x:c r="F39" t="s">
        <x:v>26</x:v>
      </x:c>
      <x:c r="G39" t="s">
        <x:v>27</x:v>
      </x:c>
      <x:c r="H39" t="s">
        <x:v>87</x:v>
      </x:c>
      <x:c r="I39">
        <x:v>1</x:v>
      </x:c>
      <x:c r="L39">
        <x:v>0</x:v>
      </x:c>
      <x:c r="M39">
        <x:v>1.64</x:v>
      </x:c>
      <x:c r="N39">
        <x:v>5.58</x:v>
      </x:c>
      <x:c r="O39">
        <x:v>20</x:v>
      </x:c>
      <x:c r="P39">
        <x:v>0</x:v>
      </x:c>
      <x:c r="Q39">
        <x:v>0</x:v>
      </x:c>
      <x:c r="R39" s="10">
        <x:v>0</x:v>
      </x:c>
      <x:c r="S39">
        <x:v>0</x:v>
      </x:c>
      <x:c r="T39">
        <x:v>0</x:v>
      </x:c>
      <x:c r="U39" s="10">
        <x:v>0</x:v>
      </x:c>
      <x:c r="W39" s="11" t="n">
        <x:f>Summary!$B$2</x:f>
        <x:v>0.15</x:v>
      </x:c>
      <x:c r="X39" s="11" t="n">
        <x:f>IFERROR(AD39-Summary!$B$2,"")</x:f>
        <x:v>-0.15</x:v>
      </x:c>
      <x:c r="Y39" s="10" t="str">
        <x:f>IFERROR((U39/Q39)*Summary!$B$2,"")</x:f>
      </x:c>
      <x:c r="Z39" s="12" t="n">
        <x:f>IFERROR(Q39/O39,0)</x:f>
        <x:v>0</x:v>
      </x:c>
      <x:c r="AA39" s="12" t="n">
        <x:f>IFERROR(T39/Q39,0)</x:f>
        <x:v>0</x:v>
      </x:c>
      <x:c r="AB39" s="10" t="n">
        <x:f>IFERROR(R39/Q39,0)</x:f>
        <x:v>0</x:v>
      </x:c>
      <x:c r="AC39" s="10" t="n">
        <x:f>IFERROR(U39/R39,0)</x:f>
        <x:v>0</x:v>
      </x:c>
      <x:c r="AD39" s="12" t="n">
        <x:f>IFERROR(R39/U39,0)</x:f>
        <x:v>0</x:v>
      </x:c>
      <x:c r="AE39" s="10" t="n">
        <x:f>IFERROR(U39/Q39,0)</x:f>
        <x:v>0</x:v>
      </x:c>
      <x:c r="AF39" s="10" t="n">
        <x:f>IF(Q39=0,M39,IF(U39=0,IF(Q39&gt;=10,MAX(0.02,M39*0.7),M39),IF(AD39=0,M39,MAX(0.02,IF(AD39&gt;Summary!$B$2,M39*Summary!$B$2/AD39,MIN(M39*1.2,M39*Summary!$B$2/AD39))))))</x:f>
        <x:v>1.64</x:v>
      </x:c>
      <x:c r="AG39" s="11" t="n">
        <x:f>IFERROR(AF39/M39-1,0)</x:f>
        <x:v>0</x:v>
      </x:c>
      <x:c r="AH39" t="str">
        <x:f>IF(Q39=0,"Need clicks",IF(AND(U39=0,Q39&gt;=10),"No sales: lower/pause",IF(AND(AD39&gt;Summary!$B$2,T39&gt;0),"Over target: reduce",IF(AND(AD39&lt;=Summary!$B$2,T39&gt;0),"At/under target: scale/hold",IF(AND(Q39&gt;0,T39=0),"Collect data","Review")))))</x:f>
        <x:v>Need clicks</x:v>
      </x:c>
      <x:c r="AI39" s="10" t="n">
        <x:f>IFERROR(IF(U39=0,R39,MAX(0,R39-(U39*Summary!$B$2))),0)</x:f>
        <x:v>0</x:v>
      </x:c>
      <x:c r="AJ39" t="str">
        <x:f>IF(AH39="No sales: lower/pause","Waste",IF(AH39="Over target: reduce","Inefficient",IF(AH39="At/under target: scale/hold","Efficient",IF(AND(O39&gt;=1000,Q39=0),"High imp/no click","Data gathering"))))</x:f>
        <x:v>Data gathering</x:v>
      </x:c>
    </x:row>
    <x:row r="40">
      <x:c r="A40" t="s">
        <x:v>22</x:v>
      </x:c>
      <x:c r="B40" t="s">
        <x:v>88</x:v>
      </x:c>
      <x:c r="C40" t="s">
        <x:v>22</x:v>
      </x:c>
      <x:c r="D40" t="s">
        <x:v>24</x:v>
      </x:c>
      <x:c r="E40" t="s">
        <x:v>63</x:v>
      </x:c>
      <x:c r="F40" t="s">
        <x:v>26</x:v>
      </x:c>
      <x:c r="G40" t="s">
        <x:v>27</x:v>
      </x:c>
      <x:c r="H40" t="s">
        <x:v>87</x:v>
      </x:c>
      <x:c r="I40">
        <x:v>1</x:v>
      </x:c>
      <x:c r="L40">
        <x:v>0</x:v>
      </x:c>
      <x:c r="M40">
        <x:v>2</x:v>
      </x:c>
      <x:c r="N40">
        <x:v>3.4</x:v>
      </x:c>
      <x:c r="O40">
        <x:v>67</x:v>
      </x:c>
      <x:c r="P40">
        <x:v>0</x:v>
      </x:c>
      <x:c r="Q40">
        <x:v>0</x:v>
      </x:c>
      <x:c r="R40" s="10">
        <x:v>0</x:v>
      </x:c>
      <x:c r="S40">
        <x:v>0</x:v>
      </x:c>
      <x:c r="T40">
        <x:v>0</x:v>
      </x:c>
      <x:c r="U40" s="10">
        <x:v>0</x:v>
      </x:c>
      <x:c r="W40" s="11" t="n">
        <x:f>Summary!$B$2</x:f>
        <x:v>0.15</x:v>
      </x:c>
      <x:c r="X40" s="11" t="n">
        <x:f>IFERROR(AD40-Summary!$B$2,"")</x:f>
        <x:v>-0.15</x:v>
      </x:c>
      <x:c r="Y40" s="10" t="str">
        <x:f>IFERROR((U40/Q40)*Summary!$B$2,"")</x:f>
      </x:c>
      <x:c r="Z40" s="12" t="n">
        <x:f>IFERROR(Q40/O40,0)</x:f>
        <x:v>0</x:v>
      </x:c>
      <x:c r="AA40" s="12" t="n">
        <x:f>IFERROR(T40/Q40,0)</x:f>
        <x:v>0</x:v>
      </x:c>
      <x:c r="AB40" s="10" t="n">
        <x:f>IFERROR(R40/Q40,0)</x:f>
        <x:v>0</x:v>
      </x:c>
      <x:c r="AC40" s="10" t="n">
        <x:f>IFERROR(U40/R40,0)</x:f>
        <x:v>0</x:v>
      </x:c>
      <x:c r="AD40" s="12" t="n">
        <x:f>IFERROR(R40/U40,0)</x:f>
        <x:v>0</x:v>
      </x:c>
      <x:c r="AE40" s="10" t="n">
        <x:f>IFERROR(U40/Q40,0)</x:f>
        <x:v>0</x:v>
      </x:c>
      <x:c r="AF40" s="10" t="n">
        <x:f>IF(Q40=0,M40,IF(U40=0,IF(Q40&gt;=10,MAX(0.02,M40*0.7),M40),IF(AD40=0,M40,MAX(0.02,IF(AD40&gt;Summary!$B$2,M40*Summary!$B$2/AD40,MIN(M40*1.2,M40*Summary!$B$2/AD40))))))</x:f>
        <x:v>2</x:v>
      </x:c>
      <x:c r="AG40" s="11" t="n">
        <x:f>IFERROR(AF40/M40-1,0)</x:f>
        <x:v>0</x:v>
      </x:c>
      <x:c r="AH40" t="str">
        <x:f>IF(Q40=0,"Need clicks",IF(AND(U40=0,Q40&gt;=10),"No sales: lower/pause",IF(AND(AD40&gt;Summary!$B$2,T40&gt;0),"Over target: reduce",IF(AND(AD40&lt;=Summary!$B$2,T40&gt;0),"At/under target: scale/hold",IF(AND(Q40&gt;0,T40=0),"Collect data","Review")))))</x:f>
        <x:v>Need clicks</x:v>
      </x:c>
      <x:c r="AI40" s="10" t="n">
        <x:f>IFERROR(IF(U40=0,R40,MAX(0,R40-(U40*Summary!$B$2))),0)</x:f>
        <x:v>0</x:v>
      </x:c>
      <x:c r="AJ40" t="str">
        <x:f>IF(AH40="No sales: lower/pause","Waste",IF(AH40="Over target: reduce","Inefficient",IF(AH40="At/under target: scale/hold","Efficient",IF(AND(O40&gt;=1000,Q40=0),"High imp/no click","Data gathering"))))</x:f>
        <x:v>Data gathering</x:v>
      </x:c>
    </x:row>
    <x:row r="41">
      <x:c r="A41" t="s">
        <x:v>22</x:v>
      </x:c>
      <x:c r="B41" t="s">
        <x:v>89</x:v>
      </x:c>
      <x:c r="C41" t="s">
        <x:v>22</x:v>
      </x:c>
      <x:c r="D41" t="s">
        <x:v>24</x:v>
      </x:c>
      <x:c r="E41" t="s">
        <x:v>63</x:v>
      </x:c>
      <x:c r="F41" t="s">
        <x:v>26</x:v>
      </x:c>
      <x:c r="G41" t="s">
        <x:v>27</x:v>
      </x:c>
      <x:c r="H41" t="s">
        <x:v>87</x:v>
      </x:c>
      <x:c r="I41">
        <x:v>1</x:v>
      </x:c>
      <x:c r="L41">
        <x:v>0</x:v>
      </x:c>
      <x:c r="M41">
        <x:v>1.8</x:v>
      </x:c>
      <x:c r="N41">
        <x:v>1.85</x:v>
      </x:c>
      <x:c r="O41">
        <x:v>8</x:v>
      </x:c>
      <x:c r="P41">
        <x:v>0</x:v>
      </x:c>
      <x:c r="Q41">
        <x:v>0</x:v>
      </x:c>
      <x:c r="R41" s="10">
        <x:v>0</x:v>
      </x:c>
      <x:c r="S41">
        <x:v>0</x:v>
      </x:c>
      <x:c r="T41">
        <x:v>0</x:v>
      </x:c>
      <x:c r="U41" s="10">
        <x:v>0</x:v>
      </x:c>
      <x:c r="W41" s="11" t="n">
        <x:f>Summary!$B$2</x:f>
        <x:v>0.15</x:v>
      </x:c>
      <x:c r="X41" s="11" t="n">
        <x:f>IFERROR(AD41-Summary!$B$2,"")</x:f>
        <x:v>-0.15</x:v>
      </x:c>
      <x:c r="Y41" s="10" t="str">
        <x:f>IFERROR((U41/Q41)*Summary!$B$2,"")</x:f>
      </x:c>
      <x:c r="Z41" s="12" t="n">
        <x:f>IFERROR(Q41/O41,0)</x:f>
        <x:v>0</x:v>
      </x:c>
      <x:c r="AA41" s="12" t="n">
        <x:f>IFERROR(T41/Q41,0)</x:f>
        <x:v>0</x:v>
      </x:c>
      <x:c r="AB41" s="10" t="n">
        <x:f>IFERROR(R41/Q41,0)</x:f>
        <x:v>0</x:v>
      </x:c>
      <x:c r="AC41" s="10" t="n">
        <x:f>IFERROR(U41/R41,0)</x:f>
        <x:v>0</x:v>
      </x:c>
      <x:c r="AD41" s="12" t="n">
        <x:f>IFERROR(R41/U41,0)</x:f>
        <x:v>0</x:v>
      </x:c>
      <x:c r="AE41" s="10" t="n">
        <x:f>IFERROR(U41/Q41,0)</x:f>
        <x:v>0</x:v>
      </x:c>
      <x:c r="AF41" s="10" t="n">
        <x:f>IF(Q41=0,M41,IF(U41=0,IF(Q41&gt;=10,MAX(0.02,M41*0.7),M41),IF(AD41=0,M41,MAX(0.02,IF(AD41&gt;Summary!$B$2,M41*Summary!$B$2/AD41,MIN(M41*1.2,M41*Summary!$B$2/AD41))))))</x:f>
        <x:v>1.8</x:v>
      </x:c>
      <x:c r="AG41" s="11" t="n">
        <x:f>IFERROR(AF41/M41-1,0)</x:f>
        <x:v>0</x:v>
      </x:c>
      <x:c r="AH41" t="str">
        <x:f>IF(Q41=0,"Need clicks",IF(AND(U41=0,Q41&gt;=10),"No sales: lower/pause",IF(AND(AD41&gt;Summary!$B$2,T41&gt;0),"Over target: reduce",IF(AND(AD41&lt;=Summary!$B$2,T41&gt;0),"At/under target: scale/hold",IF(AND(Q41&gt;0,T41=0),"Collect data","Review")))))</x:f>
        <x:v>Need clicks</x:v>
      </x:c>
      <x:c r="AI41" s="10" t="n">
        <x:f>IFERROR(IF(U41=0,R41,MAX(0,R41-(U41*Summary!$B$2))),0)</x:f>
        <x:v>0</x:v>
      </x:c>
      <x:c r="AJ41" t="str">
        <x:f>IF(AH41="No sales: lower/pause","Waste",IF(AH41="Over target: reduce","Inefficient",IF(AH41="At/under target: scale/hold","Efficient",IF(AND(O41&gt;=1000,Q41=0),"High imp/no click","Data gathering"))))</x:f>
        <x:v>Data gathering</x:v>
      </x:c>
    </x:row>
    <x:row r="42">
      <x:c r="A42" t="s">
        <x:v>22</x:v>
      </x:c>
      <x:c r="B42" t="s">
        <x:v>90</x:v>
      </x:c>
      <x:c r="C42" t="s">
        <x:v>22</x:v>
      </x:c>
      <x:c r="D42" t="s">
        <x:v>24</x:v>
      </x:c>
      <x:c r="E42" t="s">
        <x:v>63</x:v>
      </x:c>
      <x:c r="F42" t="s">
        <x:v>26</x:v>
      </x:c>
      <x:c r="G42" t="s">
        <x:v>27</x:v>
      </x:c>
      <x:c r="H42" t="s">
        <x:v>87</x:v>
      </x:c>
      <x:c r="I42">
        <x:v>1</x:v>
      </x:c>
      <x:c r="L42">
        <x:v>0</x:v>
      </x:c>
      <x:c r="M42">
        <x:v>1.39</x:v>
      </x:c>
      <x:c r="N42">
        <x:v>2.52</x:v>
      </x:c>
      <x:c r="O42">
        <x:v>1</x:v>
      </x:c>
      <x:c r="P42">
        <x:v>0</x:v>
      </x:c>
      <x:c r="Q42">
        <x:v>0</x:v>
      </x:c>
      <x:c r="R42" s="10">
        <x:v>0</x:v>
      </x:c>
      <x:c r="S42">
        <x:v>0</x:v>
      </x:c>
      <x:c r="T42">
        <x:v>0</x:v>
      </x:c>
      <x:c r="U42" s="10">
        <x:v>0</x:v>
      </x:c>
      <x:c r="W42" s="11" t="n">
        <x:f>Summary!$B$2</x:f>
        <x:v>0.15</x:v>
      </x:c>
      <x:c r="X42" s="11" t="n">
        <x:f>IFERROR(AD42-Summary!$B$2,"")</x:f>
        <x:v>-0.15</x:v>
      </x:c>
      <x:c r="Y42" s="10" t="str">
        <x:f>IFERROR((U42/Q42)*Summary!$B$2,"")</x:f>
      </x:c>
      <x:c r="Z42" s="12" t="n">
        <x:f>IFERROR(Q42/O42,0)</x:f>
        <x:v>0</x:v>
      </x:c>
      <x:c r="AA42" s="12" t="n">
        <x:f>IFERROR(T42/Q42,0)</x:f>
        <x:v>0</x:v>
      </x:c>
      <x:c r="AB42" s="10" t="n">
        <x:f>IFERROR(R42/Q42,0)</x:f>
        <x:v>0</x:v>
      </x:c>
      <x:c r="AC42" s="10" t="n">
        <x:f>IFERROR(U42/R42,0)</x:f>
        <x:v>0</x:v>
      </x:c>
      <x:c r="AD42" s="12" t="n">
        <x:f>IFERROR(R42/U42,0)</x:f>
        <x:v>0</x:v>
      </x:c>
      <x:c r="AE42" s="10" t="n">
        <x:f>IFERROR(U42/Q42,0)</x:f>
        <x:v>0</x:v>
      </x:c>
      <x:c r="AF42" s="10" t="n">
        <x:f>IF(Q42=0,M42,IF(U42=0,IF(Q42&gt;=10,MAX(0.02,M42*0.7),M42),IF(AD42=0,M42,MAX(0.02,IF(AD42&gt;Summary!$B$2,M42*Summary!$B$2/AD42,MIN(M42*1.2,M42*Summary!$B$2/AD42))))))</x:f>
        <x:v>1.39</x:v>
      </x:c>
      <x:c r="AG42" s="11" t="n">
        <x:f>IFERROR(AF42/M42-1,0)</x:f>
        <x:v>0</x:v>
      </x:c>
      <x:c r="AH42" t="str">
        <x:f>IF(Q42=0,"Need clicks",IF(AND(U42=0,Q42&gt;=10),"No sales: lower/pause",IF(AND(AD42&gt;Summary!$B$2,T42&gt;0),"Over target: reduce",IF(AND(AD42&lt;=Summary!$B$2,T42&gt;0),"At/under target: scale/hold",IF(AND(Q42&gt;0,T42=0),"Collect data","Review")))))</x:f>
        <x:v>Need clicks</x:v>
      </x:c>
      <x:c r="AI42" s="10" t="n">
        <x:f>IFERROR(IF(U42=0,R42,MAX(0,R42-(U42*Summary!$B$2))),0)</x:f>
        <x:v>0</x:v>
      </x:c>
      <x:c r="AJ42" t="str">
        <x:f>IF(AH42="No sales: lower/pause","Waste",IF(AH42="Over target: reduce","Inefficient",IF(AH42="At/under target: scale/hold","Efficient",IF(AND(O42&gt;=1000,Q42=0),"High imp/no click","Data gathering"))))</x:f>
        <x:v>Data gathering</x:v>
      </x:c>
    </x:row>
    <x:row r="43">
      <x:c r="A43" t="s">
        <x:v>22</x:v>
      </x:c>
      <x:c r="B43" t="s">
        <x:v>91</x:v>
      </x:c>
      <x:c r="C43" t="s">
        <x:v>22</x:v>
      </x:c>
      <x:c r="D43" t="s">
        <x:v>24</x:v>
      </x:c>
      <x:c r="E43" t="s">
        <x:v>63</x:v>
      </x:c>
      <x:c r="F43" t="s">
        <x:v>26</x:v>
      </x:c>
      <x:c r="G43" t="s">
        <x:v>27</x:v>
      </x:c>
      <x:c r="H43" t="s">
        <x:v>87</x:v>
      </x:c>
      <x:c r="I43">
        <x:v>1</x:v>
      </x:c>
      <x:c r="L43">
        <x:v>0</x:v>
      </x:c>
      <x:c r="M43">
        <x:v>0.14000000000000001</x:v>
      </x:c>
      <x:c r="N43">
        <x:v>2.65</x:v>
      </x:c>
      <x:c r="O43">
        <x:v>5</x:v>
      </x:c>
      <x:c r="Q43">
        <x:v>0</x:v>
      </x:c>
      <x:c r="R43" s="10">
        <x:v>0</x:v>
      </x:c>
      <x:c r="S43">
        <x:v>0</x:v>
      </x:c>
      <x:c r="T43">
        <x:v>0</x:v>
      </x:c>
      <x:c r="U43" s="10">
        <x:v>0</x:v>
      </x:c>
      <x:c r="W43" s="11" t="n">
        <x:f>Summary!$B$2</x:f>
        <x:v>0.15</x:v>
      </x:c>
      <x:c r="X43" s="11" t="n">
        <x:f>IFERROR(AD43-Summary!$B$2,"")</x:f>
        <x:v>-0.15</x:v>
      </x:c>
      <x:c r="Y43" s="10" t="str">
        <x:f>IFERROR((U43/Q43)*Summary!$B$2,"")</x:f>
      </x:c>
      <x:c r="Z43" s="12" t="n">
        <x:f>IFERROR(Q43/O43,0)</x:f>
        <x:v>0</x:v>
      </x:c>
      <x:c r="AA43" s="12" t="n">
        <x:f>IFERROR(T43/Q43,0)</x:f>
        <x:v>0</x:v>
      </x:c>
      <x:c r="AB43" s="10" t="n">
        <x:f>IFERROR(R43/Q43,0)</x:f>
        <x:v>0</x:v>
      </x:c>
      <x:c r="AC43" s="10" t="n">
        <x:f>IFERROR(U43/R43,0)</x:f>
        <x:v>0</x:v>
      </x:c>
      <x:c r="AD43" s="12" t="n">
        <x:f>IFERROR(R43/U43,0)</x:f>
        <x:v>0</x:v>
      </x:c>
      <x:c r="AE43" s="10" t="n">
        <x:f>IFERROR(U43/Q43,0)</x:f>
        <x:v>0</x:v>
      </x:c>
      <x:c r="AF43" s="10" t="n">
        <x:f>IF(Q43=0,M43,IF(U43=0,IF(Q43&gt;=10,MAX(0.02,M43*0.7),M43),IF(AD43=0,M43,MAX(0.02,IF(AD43&gt;Summary!$B$2,M43*Summary!$B$2/AD43,MIN(M43*1.2,M43*Summary!$B$2/AD43))))))</x:f>
        <x:v>0.14</x:v>
      </x:c>
      <x:c r="AG43" s="11" t="n">
        <x:f>IFERROR(AF43/M43-1,0)</x:f>
        <x:v>0</x:v>
      </x:c>
      <x:c r="AH43" t="str">
        <x:f>IF(Q43=0,"Need clicks",IF(AND(U43=0,Q43&gt;=10),"No sales: lower/pause",IF(AND(AD43&gt;Summary!$B$2,T43&gt;0),"Over target: reduce",IF(AND(AD43&lt;=Summary!$B$2,T43&gt;0),"At/under target: scale/hold",IF(AND(Q43&gt;0,T43=0),"Collect data","Review")))))</x:f>
        <x:v>Need clicks</x:v>
      </x:c>
      <x:c r="AI43" s="10" t="n">
        <x:f>IFERROR(IF(U43=0,R43,MAX(0,R43-(U43*Summary!$B$2))),0)</x:f>
        <x:v>0</x:v>
      </x:c>
      <x:c r="AJ43" t="str">
        <x:f>IF(AH43="No sales: lower/pause","Waste",IF(AH43="Over target: reduce","Inefficient",IF(AH43="At/under target: scale/hold","Efficient",IF(AND(O43&gt;=1000,Q43=0),"High imp/no click","Data gathering"))))</x:f>
        <x:v>Data gathering</x:v>
      </x:c>
    </x:row>
    <x:row r="44">
      <x:c r="A44" t="s">
        <x:v>22</x:v>
      </x:c>
      <x:c r="B44" t="s">
        <x:v>92</x:v>
      </x:c>
      <x:c r="C44" t="s">
        <x:v>22</x:v>
      </x:c>
      <x:c r="D44" t="s">
        <x:v>24</x:v>
      </x:c>
      <x:c r="E44" t="s">
        <x:v>63</x:v>
      </x:c>
      <x:c r="F44" t="s">
        <x:v>26</x:v>
      </x:c>
      <x:c r="G44" t="s">
        <x:v>27</x:v>
      </x:c>
      <x:c r="H44" t="s">
        <x:v>87</x:v>
      </x:c>
      <x:c r="I44">
        <x:v>1</x:v>
      </x:c>
      <x:c r="L44">
        <x:v>0</x:v>
      </x:c>
      <x:c r="M44">
        <x:v>1.07</x:v>
      </x:c>
      <x:c r="N44">
        <x:v>2.65</x:v>
      </x:c>
      <x:c r="O44">
        <x:v>33</x:v>
      </x:c>
      <x:c r="P44" s="1" t="s">
        <x:v>93</x:v>
      </x:c>
      <x:c r="Q44">
        <x:v>0</x:v>
      </x:c>
      <x:c r="R44" s="10">
        <x:v>0</x:v>
      </x:c>
      <x:c r="S44">
        <x:v>0</x:v>
      </x:c>
      <x:c r="T44">
        <x:v>0</x:v>
      </x:c>
      <x:c r="U44" s="10">
        <x:v>0</x:v>
      </x:c>
      <x:c r="W44" s="11" t="n">
        <x:f>Summary!$B$2</x:f>
        <x:v>0.15</x:v>
      </x:c>
      <x:c r="X44" s="11" t="n">
        <x:f>IFERROR(AD44-Summary!$B$2,"")</x:f>
        <x:v>-0.15</x:v>
      </x:c>
      <x:c r="Y44" s="10" t="str">
        <x:f>IFERROR((U44/Q44)*Summary!$B$2,"")</x:f>
      </x:c>
      <x:c r="Z44" s="12" t="n">
        <x:f>IFERROR(Q44/O44,0)</x:f>
        <x:v>0</x:v>
      </x:c>
      <x:c r="AA44" s="12" t="n">
        <x:f>IFERROR(T44/Q44,0)</x:f>
        <x:v>0</x:v>
      </x:c>
      <x:c r="AB44" s="10" t="n">
        <x:f>IFERROR(R44/Q44,0)</x:f>
        <x:v>0</x:v>
      </x:c>
      <x:c r="AC44" s="10" t="n">
        <x:f>IFERROR(U44/R44,0)</x:f>
        <x:v>0</x:v>
      </x:c>
      <x:c r="AD44" s="12" t="n">
        <x:f>IFERROR(R44/U44,0)</x:f>
        <x:v>0</x:v>
      </x:c>
      <x:c r="AE44" s="10" t="n">
        <x:f>IFERROR(U44/Q44,0)</x:f>
        <x:v>0</x:v>
      </x:c>
      <x:c r="AF44" s="10" t="n">
        <x:f>IF(Q44=0,M44,IF(U44=0,IF(Q44&gt;=10,MAX(0.02,M44*0.7),M44),IF(AD44=0,M44,MAX(0.02,IF(AD44&gt;Summary!$B$2,M44*Summary!$B$2/AD44,MIN(M44*1.2,M44*Summary!$B$2/AD44))))))</x:f>
        <x:v>1.07</x:v>
      </x:c>
      <x:c r="AG44" s="11" t="n">
        <x:f>IFERROR(AF44/M44-1,0)</x:f>
        <x:v>0</x:v>
      </x:c>
      <x:c r="AH44" t="str">
        <x:f>IF(Q44=0,"Need clicks",IF(AND(U44=0,Q44&gt;=10),"No sales: lower/pause",IF(AND(AD44&gt;Summary!$B$2,T44&gt;0),"Over target: reduce",IF(AND(AD44&lt;=Summary!$B$2,T44&gt;0),"At/under target: scale/hold",IF(AND(Q44&gt;0,T44=0),"Collect data","Review")))))</x:f>
        <x:v>Need clicks</x:v>
      </x:c>
      <x:c r="AI44" s="10" t="n">
        <x:f>IFERROR(IF(U44=0,R44,MAX(0,R44-(U44*Summary!$B$2))),0)</x:f>
        <x:v>0</x:v>
      </x:c>
      <x:c r="AJ44" t="str">
        <x:f>IF(AH44="No sales: lower/pause","Waste",IF(AH44="Over target: reduce","Inefficient",IF(AH44="At/under target: scale/hold","Efficient",IF(AND(O44&gt;=1000,Q44=0),"High imp/no click","Data gathering"))))</x:f>
        <x:v>Data gathering</x:v>
      </x:c>
    </x:row>
    <x:row r="45">
      <x:c r="A45" t="s">
        <x:v>22</x:v>
      </x:c>
      <x:c r="B45" t="s">
        <x:v>94</x:v>
      </x:c>
      <x:c r="C45" t="s">
        <x:v>22</x:v>
      </x:c>
      <x:c r="D45" t="s">
        <x:v>24</x:v>
      </x:c>
      <x:c r="E45" t="s">
        <x:v>63</x:v>
      </x:c>
      <x:c r="F45" t="s">
        <x:v>26</x:v>
      </x:c>
      <x:c r="G45" t="s">
        <x:v>27</x:v>
      </x:c>
      <x:c r="H45" t="s">
        <x:v>87</x:v>
      </x:c>
      <x:c r="I45">
        <x:v>1</x:v>
      </x:c>
      <x:c r="L45">
        <x:v>0</x:v>
      </x:c>
      <x:c r="M45">
        <x:v>0.09</x:v>
      </x:c>
      <x:c r="N45">
        <x:v>0.85</x:v>
      </x:c>
      <x:c r="O45">
        <x:v>8</x:v>
      </x:c>
      <x:c r="P45">
        <x:v>0</x:v>
      </x:c>
      <x:c r="Q45">
        <x:v>0</x:v>
      </x:c>
      <x:c r="R45" s="10">
        <x:v>0</x:v>
      </x:c>
      <x:c r="S45">
        <x:v>0</x:v>
      </x:c>
      <x:c r="T45">
        <x:v>0</x:v>
      </x:c>
      <x:c r="U45" s="10">
        <x:v>0</x:v>
      </x:c>
      <x:c r="W45" s="11" t="n">
        <x:f>Summary!$B$2</x:f>
        <x:v>0.15</x:v>
      </x:c>
      <x:c r="X45" s="11" t="n">
        <x:f>IFERROR(AD45-Summary!$B$2,"")</x:f>
        <x:v>-0.15</x:v>
      </x:c>
      <x:c r="Y45" s="10" t="str">
        <x:f>IFERROR((U45/Q45)*Summary!$B$2,"")</x:f>
      </x:c>
      <x:c r="Z45" s="12" t="n">
        <x:f>IFERROR(Q45/O45,0)</x:f>
        <x:v>0</x:v>
      </x:c>
      <x:c r="AA45" s="12" t="n">
        <x:f>IFERROR(T45/Q45,0)</x:f>
        <x:v>0</x:v>
      </x:c>
      <x:c r="AB45" s="10" t="n">
        <x:f>IFERROR(R45/Q45,0)</x:f>
        <x:v>0</x:v>
      </x:c>
      <x:c r="AC45" s="10" t="n">
        <x:f>IFERROR(U45/R45,0)</x:f>
        <x:v>0</x:v>
      </x:c>
      <x:c r="AD45" s="12" t="n">
        <x:f>IFERROR(R45/U45,0)</x:f>
        <x:v>0</x:v>
      </x:c>
      <x:c r="AE45" s="10" t="n">
        <x:f>IFERROR(U45/Q45,0)</x:f>
        <x:v>0</x:v>
      </x:c>
      <x:c r="AF45" s="10" t="n">
        <x:f>IF(Q45=0,M45,IF(U45=0,IF(Q45&gt;=10,MAX(0.02,M45*0.7),M45),IF(AD45=0,M45,MAX(0.02,IF(AD45&gt;Summary!$B$2,M45*Summary!$B$2/AD45,MIN(M45*1.2,M45*Summary!$B$2/AD45))))))</x:f>
        <x:v>0.09</x:v>
      </x:c>
      <x:c r="AG45" s="11" t="n">
        <x:f>IFERROR(AF45/M45-1,0)</x:f>
        <x:v>0</x:v>
      </x:c>
      <x:c r="AH45" t="str">
        <x:f>IF(Q45=0,"Need clicks",IF(AND(U45=0,Q45&gt;=10),"No sales: lower/pause",IF(AND(AD45&gt;Summary!$B$2,T45&gt;0),"Over target: reduce",IF(AND(AD45&lt;=Summary!$B$2,T45&gt;0),"At/under target: scale/hold",IF(AND(Q45&gt;0,T45=0),"Collect data","Review")))))</x:f>
        <x:v>Need clicks</x:v>
      </x:c>
      <x:c r="AI45" s="10" t="n">
        <x:f>IFERROR(IF(U45=0,R45,MAX(0,R45-(U45*Summary!$B$2))),0)</x:f>
        <x:v>0</x:v>
      </x:c>
      <x:c r="AJ45" t="str">
        <x:f>IF(AH45="No sales: lower/pause","Waste",IF(AH45="Over target: reduce","Inefficient",IF(AH45="At/under target: scale/hold","Efficient",IF(AND(O45&gt;=1000,Q45=0),"High imp/no click","Data gathering"))))</x:f>
        <x:v>Data gathering</x:v>
      </x:c>
    </x:row>
    <x:row r="46">
      <x:c r="A46" t="s">
        <x:v>22</x:v>
      </x:c>
      <x:c r="B46" t="s">
        <x:v>95</x:v>
      </x:c>
      <x:c r="C46" t="s">
        <x:v>22</x:v>
      </x:c>
      <x:c r="D46" t="s">
        <x:v>24</x:v>
      </x:c>
      <x:c r="E46" t="s">
        <x:v>63</x:v>
      </x:c>
      <x:c r="F46" t="s">
        <x:v>26</x:v>
      </x:c>
      <x:c r="G46" t="s">
        <x:v>27</x:v>
      </x:c>
      <x:c r="H46" t="s">
        <x:v>87</x:v>
      </x:c>
      <x:c r="I46">
        <x:v>1</x:v>
      </x:c>
      <x:c r="L46">
        <x:v>0</x:v>
      </x:c>
      <x:c r="M46">
        <x:v>2.54</x:v>
      </x:c>
      <x:c r="N46">
        <x:v>2.2999999999999998</x:v>
      </x:c>
      <x:c r="O46">
        <x:v>30</x:v>
      </x:c>
      <x:c r="P46" s="1" t="s">
        <x:v>96</x:v>
      </x:c>
      <x:c r="Q46">
        <x:v>0</x:v>
      </x:c>
      <x:c r="R46" s="10">
        <x:v>0</x:v>
      </x:c>
      <x:c r="S46">
        <x:v>0</x:v>
      </x:c>
      <x:c r="T46">
        <x:v>0</x:v>
      </x:c>
      <x:c r="U46" s="10">
        <x:v>0</x:v>
      </x:c>
      <x:c r="W46" s="11" t="n">
        <x:f>Summary!$B$2</x:f>
        <x:v>0.15</x:v>
      </x:c>
      <x:c r="X46" s="11" t="n">
        <x:f>IFERROR(AD46-Summary!$B$2,"")</x:f>
        <x:v>-0.15</x:v>
      </x:c>
      <x:c r="Y46" s="10" t="str">
        <x:f>IFERROR((U46/Q46)*Summary!$B$2,"")</x:f>
      </x:c>
      <x:c r="Z46" s="12" t="n">
        <x:f>IFERROR(Q46/O46,0)</x:f>
        <x:v>0</x:v>
      </x:c>
      <x:c r="AA46" s="12" t="n">
        <x:f>IFERROR(T46/Q46,0)</x:f>
        <x:v>0</x:v>
      </x:c>
      <x:c r="AB46" s="10" t="n">
        <x:f>IFERROR(R46/Q46,0)</x:f>
        <x:v>0</x:v>
      </x:c>
      <x:c r="AC46" s="10" t="n">
        <x:f>IFERROR(U46/R46,0)</x:f>
        <x:v>0</x:v>
      </x:c>
      <x:c r="AD46" s="12" t="n">
        <x:f>IFERROR(R46/U46,0)</x:f>
        <x:v>0</x:v>
      </x:c>
      <x:c r="AE46" s="10" t="n">
        <x:f>IFERROR(U46/Q46,0)</x:f>
        <x:v>0</x:v>
      </x:c>
      <x:c r="AF46" s="10" t="n">
        <x:f>IF(Q46=0,M46,IF(U46=0,IF(Q46&gt;=10,MAX(0.02,M46*0.7),M46),IF(AD46=0,M46,MAX(0.02,IF(AD46&gt;Summary!$B$2,M46*Summary!$B$2/AD46,MIN(M46*1.2,M46*Summary!$B$2/AD46))))))</x:f>
        <x:v>2.54</x:v>
      </x:c>
      <x:c r="AG46" s="11" t="n">
        <x:f>IFERROR(AF46/M46-1,0)</x:f>
        <x:v>0</x:v>
      </x:c>
      <x:c r="AH46" t="str">
        <x:f>IF(Q46=0,"Need clicks",IF(AND(U46=0,Q46&gt;=10),"No sales: lower/pause",IF(AND(AD46&gt;Summary!$B$2,T46&gt;0),"Over target: reduce",IF(AND(AD46&lt;=Summary!$B$2,T46&gt;0),"At/under target: scale/hold",IF(AND(Q46&gt;0,T46=0),"Collect data","Review")))))</x:f>
        <x:v>Need clicks</x:v>
      </x:c>
      <x:c r="AI46" s="10" t="n">
        <x:f>IFERROR(IF(U46=0,R46,MAX(0,R46-(U46*Summary!$B$2))),0)</x:f>
        <x:v>0</x:v>
      </x:c>
      <x:c r="AJ46" t="str">
        <x:f>IF(AH46="No sales: lower/pause","Waste",IF(AH46="Over target: reduce","Inefficient",IF(AH46="At/under target: scale/hold","Efficient",IF(AND(O46&gt;=1000,Q46=0),"High imp/no click","Data gathering"))))</x:f>
        <x:v>Data gathering</x:v>
      </x:c>
    </x:row>
    <x:row r="47">
      <x:c r="A47" t="s">
        <x:v>22</x:v>
      </x:c>
      <x:c r="B47" t="s">
        <x:v>97</x:v>
      </x:c>
      <x:c r="C47" t="s">
        <x:v>22</x:v>
      </x:c>
      <x:c r="D47" t="s">
        <x:v>24</x:v>
      </x:c>
      <x:c r="E47" t="s">
        <x:v>63</x:v>
      </x:c>
      <x:c r="F47" t="s">
        <x:v>26</x:v>
      </x:c>
      <x:c r="G47" t="s">
        <x:v>27</x:v>
      </x:c>
      <x:c r="H47" t="s">
        <x:v>87</x:v>
      </x:c>
      <x:c r="I47">
        <x:v>1</x:v>
      </x:c>
      <x:c r="L47">
        <x:v>0</x:v>
      </x:c>
      <x:c r="M47">
        <x:v>0.15</x:v>
      </x:c>
      <x:c r="N47">
        <x:v>2.3199999999999998</x:v>
      </x:c>
      <x:c r="O47">
        <x:v>4</x:v>
      </x:c>
      <x:c r="Q47">
        <x:v>0</x:v>
      </x:c>
      <x:c r="R47" s="10">
        <x:v>0</x:v>
      </x:c>
      <x:c r="S47">
        <x:v>0</x:v>
      </x:c>
      <x:c r="T47">
        <x:v>0</x:v>
      </x:c>
      <x:c r="U47" s="10">
        <x:v>0</x:v>
      </x:c>
      <x:c r="W47" s="11" t="n">
        <x:f>Summary!$B$2</x:f>
        <x:v>0.15</x:v>
      </x:c>
      <x:c r="X47" s="11" t="n">
        <x:f>IFERROR(AD47-Summary!$B$2,"")</x:f>
        <x:v>-0.15</x:v>
      </x:c>
      <x:c r="Y47" s="10" t="str">
        <x:f>IFERROR((U47/Q47)*Summary!$B$2,"")</x:f>
      </x:c>
      <x:c r="Z47" s="12" t="n">
        <x:f>IFERROR(Q47/O47,0)</x:f>
        <x:v>0</x:v>
      </x:c>
      <x:c r="AA47" s="12" t="n">
        <x:f>IFERROR(T47/Q47,0)</x:f>
        <x:v>0</x:v>
      </x:c>
      <x:c r="AB47" s="10" t="n">
        <x:f>IFERROR(R47/Q47,0)</x:f>
        <x:v>0</x:v>
      </x:c>
      <x:c r="AC47" s="10" t="n">
        <x:f>IFERROR(U47/R47,0)</x:f>
        <x:v>0</x:v>
      </x:c>
      <x:c r="AD47" s="12" t="n">
        <x:f>IFERROR(R47/U47,0)</x:f>
        <x:v>0</x:v>
      </x:c>
      <x:c r="AE47" s="10" t="n">
        <x:f>IFERROR(U47/Q47,0)</x:f>
        <x:v>0</x:v>
      </x:c>
      <x:c r="AF47" s="10" t="n">
        <x:f>IF(Q47=0,M47,IF(U47=0,IF(Q47&gt;=10,MAX(0.02,M47*0.7),M47),IF(AD47=0,M47,MAX(0.02,IF(AD47&gt;Summary!$B$2,M47*Summary!$B$2/AD47,MIN(M47*1.2,M47*Summary!$B$2/AD47))))))</x:f>
        <x:v>0.15</x:v>
      </x:c>
      <x:c r="AG47" s="11" t="n">
        <x:f>IFERROR(AF47/M47-1,0)</x:f>
        <x:v>0</x:v>
      </x:c>
      <x:c r="AH47" t="str">
        <x:f>IF(Q47=0,"Need clicks",IF(AND(U47=0,Q47&gt;=10),"No sales: lower/pause",IF(AND(AD47&gt;Summary!$B$2,T47&gt;0),"Over target: reduce",IF(AND(AD47&lt;=Summary!$B$2,T47&gt;0),"At/under target: scale/hold",IF(AND(Q47&gt;0,T47=0),"Collect data","Review")))))</x:f>
        <x:v>Need clicks</x:v>
      </x:c>
      <x:c r="AI47" s="10" t="n">
        <x:f>IFERROR(IF(U47=0,R47,MAX(0,R47-(U47*Summary!$B$2))),0)</x:f>
        <x:v>0</x:v>
      </x:c>
      <x:c r="AJ47" t="str">
        <x:f>IF(AH47="No sales: lower/pause","Waste",IF(AH47="Over target: reduce","Inefficient",IF(AH47="At/under target: scale/hold","Efficient",IF(AND(O47&gt;=1000,Q47=0),"High imp/no click","Data gathering"))))</x:f>
        <x:v>Data gathering</x:v>
      </x:c>
    </x:row>
    <x:row r="48">
      <x:c r="A48" t="s">
        <x:v>22</x:v>
      </x:c>
      <x:c r="B48" t="s">
        <x:v>98</x:v>
      </x:c>
      <x:c r="C48" t="s">
        <x:v>22</x:v>
      </x:c>
      <x:c r="D48" t="s">
        <x:v>24</x:v>
      </x:c>
      <x:c r="E48" t="s">
        <x:v>63</x:v>
      </x:c>
      <x:c r="F48" t="s">
        <x:v>26</x:v>
      </x:c>
      <x:c r="G48" t="s">
        <x:v>27</x:v>
      </x:c>
      <x:c r="H48" t="s">
        <x:v>87</x:v>
      </x:c>
      <x:c r="I48">
        <x:v>1</x:v>
      </x:c>
      <x:c r="L48">
        <x:v>0</x:v>
      </x:c>
      <x:c r="M48">
        <x:v>1.52</x:v>
      </x:c>
      <x:c r="N48">
        <x:v>3</x:v>
      </x:c>
      <x:c r="O48">
        <x:v>3</x:v>
      </x:c>
      <x:c r="P48">
        <x:v>0</x:v>
      </x:c>
      <x:c r="Q48">
        <x:v>0</x:v>
      </x:c>
      <x:c r="R48" s="10">
        <x:v>0</x:v>
      </x:c>
      <x:c r="S48">
        <x:v>0</x:v>
      </x:c>
      <x:c r="T48">
        <x:v>0</x:v>
      </x:c>
      <x:c r="U48" s="10">
        <x:v>0</x:v>
      </x:c>
      <x:c r="W48" s="11" t="n">
        <x:f>Summary!$B$2</x:f>
        <x:v>0.15</x:v>
      </x:c>
      <x:c r="X48" s="11" t="n">
        <x:f>IFERROR(AD48-Summary!$B$2,"")</x:f>
        <x:v>-0.15</x:v>
      </x:c>
      <x:c r="Y48" s="10" t="str">
        <x:f>IFERROR((U48/Q48)*Summary!$B$2,"")</x:f>
      </x:c>
      <x:c r="Z48" s="12" t="n">
        <x:f>IFERROR(Q48/O48,0)</x:f>
        <x:v>0</x:v>
      </x:c>
      <x:c r="AA48" s="12" t="n">
        <x:f>IFERROR(T48/Q48,0)</x:f>
        <x:v>0</x:v>
      </x:c>
      <x:c r="AB48" s="10" t="n">
        <x:f>IFERROR(R48/Q48,0)</x:f>
        <x:v>0</x:v>
      </x:c>
      <x:c r="AC48" s="10" t="n">
        <x:f>IFERROR(U48/R48,0)</x:f>
        <x:v>0</x:v>
      </x:c>
      <x:c r="AD48" s="12" t="n">
        <x:f>IFERROR(R48/U48,0)</x:f>
        <x:v>0</x:v>
      </x:c>
      <x:c r="AE48" s="10" t="n">
        <x:f>IFERROR(U48/Q48,0)</x:f>
        <x:v>0</x:v>
      </x:c>
      <x:c r="AF48" s="10" t="n">
        <x:f>IF(Q48=0,M48,IF(U48=0,IF(Q48&gt;=10,MAX(0.02,M48*0.7),M48),IF(AD48=0,M48,MAX(0.02,IF(AD48&gt;Summary!$B$2,M48*Summary!$B$2/AD48,MIN(M48*1.2,M48*Summary!$B$2/AD48))))))</x:f>
        <x:v>1.52</x:v>
      </x:c>
      <x:c r="AG48" s="11" t="n">
        <x:f>IFERROR(AF48/M48-1,0)</x:f>
        <x:v>0</x:v>
      </x:c>
      <x:c r="AH48" t="str">
        <x:f>IF(Q48=0,"Need clicks",IF(AND(U48=0,Q48&gt;=10),"No sales: lower/pause",IF(AND(AD48&gt;Summary!$B$2,T48&gt;0),"Over target: reduce",IF(AND(AD48&lt;=Summary!$B$2,T48&gt;0),"At/under target: scale/hold",IF(AND(Q48&gt;0,T48=0),"Collect data","Review")))))</x:f>
        <x:v>Need clicks</x:v>
      </x:c>
      <x:c r="AI48" s="10" t="n">
        <x:f>IFERROR(IF(U48=0,R48,MAX(0,R48-(U48*Summary!$B$2))),0)</x:f>
        <x:v>0</x:v>
      </x:c>
      <x:c r="AJ48" t="str">
        <x:f>IF(AH48="No sales: lower/pause","Waste",IF(AH48="Over target: reduce","Inefficient",IF(AH48="At/under target: scale/hold","Efficient",IF(AND(O48&gt;=1000,Q48=0),"High imp/no click","Data gathering"))))</x:f>
        <x:v>Data gathering</x:v>
      </x:c>
    </x:row>
    <x:row r="49">
      <x:c r="A49" t="s">
        <x:v>22</x:v>
      </x:c>
      <x:c r="B49" t="s">
        <x:v>99</x:v>
      </x:c>
      <x:c r="C49" t="s">
        <x:v>22</x:v>
      </x:c>
      <x:c r="D49" t="s">
        <x:v>24</x:v>
      </x:c>
      <x:c r="E49" t="s">
        <x:v>63</x:v>
      </x:c>
      <x:c r="F49" t="s">
        <x:v>26</x:v>
      </x:c>
      <x:c r="G49" t="s">
        <x:v>27</x:v>
      </x:c>
      <x:c r="H49" t="s">
        <x:v>100</x:v>
      </x:c>
      <x:c r="I49">
        <x:v>1</x:v>
      </x:c>
      <x:c r="L49">
        <x:v>0</x:v>
      </x:c>
      <x:c r="M49">
        <x:v>0.14000000000000001</x:v>
      </x:c>
      <x:c r="N49">
        <x:v>1.46</x:v>
      </x:c>
      <x:c r="O49">
        <x:v>1</x:v>
      </x:c>
      <x:c r="P49">
        <x:v>0</x:v>
      </x:c>
      <x:c r="Q49">
        <x:v>0</x:v>
      </x:c>
      <x:c r="R49" s="10">
        <x:v>0</x:v>
      </x:c>
      <x:c r="S49">
        <x:v>0</x:v>
      </x:c>
      <x:c r="T49">
        <x:v>0</x:v>
      </x:c>
      <x:c r="U49" s="10">
        <x:v>0</x:v>
      </x:c>
      <x:c r="W49" s="11" t="n">
        <x:f>Summary!$B$2</x:f>
        <x:v>0.15</x:v>
      </x:c>
      <x:c r="X49" s="11" t="n">
        <x:f>IFERROR(AD49-Summary!$B$2,"")</x:f>
        <x:v>-0.15</x:v>
      </x:c>
      <x:c r="Y49" s="10" t="str">
        <x:f>IFERROR((U49/Q49)*Summary!$B$2,"")</x:f>
      </x:c>
      <x:c r="Z49" s="12" t="n">
        <x:f>IFERROR(Q49/O49,0)</x:f>
        <x:v>0</x:v>
      </x:c>
      <x:c r="AA49" s="12" t="n">
        <x:f>IFERROR(T49/Q49,0)</x:f>
        <x:v>0</x:v>
      </x:c>
      <x:c r="AB49" s="10" t="n">
        <x:f>IFERROR(R49/Q49,0)</x:f>
        <x:v>0</x:v>
      </x:c>
      <x:c r="AC49" s="10" t="n">
        <x:f>IFERROR(U49/R49,0)</x:f>
        <x:v>0</x:v>
      </x:c>
      <x:c r="AD49" s="12" t="n">
        <x:f>IFERROR(R49/U49,0)</x:f>
        <x:v>0</x:v>
      </x:c>
      <x:c r="AE49" s="10" t="n">
        <x:f>IFERROR(U49/Q49,0)</x:f>
        <x:v>0</x:v>
      </x:c>
      <x:c r="AF49" s="10" t="n">
        <x:f>IF(Q49=0,M49,IF(U49=0,IF(Q49&gt;=10,MAX(0.02,M49*0.7),M49),IF(AD49=0,M49,MAX(0.02,IF(AD49&gt;Summary!$B$2,M49*Summary!$B$2/AD49,MIN(M49*1.2,M49*Summary!$B$2/AD49))))))</x:f>
        <x:v>0.14</x:v>
      </x:c>
      <x:c r="AG49" s="11" t="n">
        <x:f>IFERROR(AF49/M49-1,0)</x:f>
        <x:v>0</x:v>
      </x:c>
      <x:c r="AH49" t="str">
        <x:f>IF(Q49=0,"Need clicks",IF(AND(U49=0,Q49&gt;=10),"No sales: lower/pause",IF(AND(AD49&gt;Summary!$B$2,T49&gt;0),"Over target: reduce",IF(AND(AD49&lt;=Summary!$B$2,T49&gt;0),"At/under target: scale/hold",IF(AND(Q49&gt;0,T49=0),"Collect data","Review")))))</x:f>
        <x:v>Need clicks</x:v>
      </x:c>
      <x:c r="AI49" s="10" t="n">
        <x:f>IFERROR(IF(U49=0,R49,MAX(0,R49-(U49*Summary!$B$2))),0)</x:f>
        <x:v>0</x:v>
      </x:c>
      <x:c r="AJ49" t="str">
        <x:f>IF(AH49="No sales: lower/pause","Waste",IF(AH49="Over target: reduce","Inefficient",IF(AH49="At/under target: scale/hold","Efficient",IF(AND(O49&gt;=1000,Q49=0),"High imp/no click","Data gathering"))))</x:f>
        <x:v>Data gathering</x:v>
      </x:c>
    </x:row>
    <x:row r="50">
      <x:c r="A50" t="s">
        <x:v>22</x:v>
      </x:c>
      <x:c r="B50" t="s">
        <x:v>101</x:v>
      </x:c>
      <x:c r="C50" t="s">
        <x:v>22</x:v>
      </x:c>
      <x:c r="D50" t="s">
        <x:v>24</x:v>
      </x:c>
      <x:c r="E50" t="s">
        <x:v>63</x:v>
      </x:c>
      <x:c r="F50" t="s">
        <x:v>26</x:v>
      </x:c>
      <x:c r="G50" t="s">
        <x:v>27</x:v>
      </x:c>
      <x:c r="H50" t="s">
        <x:v>100</x:v>
      </x:c>
      <x:c r="I50">
        <x:v>1</x:v>
      </x:c>
      <x:c r="L50">
        <x:v>0</x:v>
      </x:c>
      <x:c r="M50">
        <x:v>1.4</x:v>
      </x:c>
      <x:c r="N50">
        <x:v>1.95</x:v>
      </x:c>
      <x:c r="O50">
        <x:v>3</x:v>
      </x:c>
      <x:c r="P50">
        <x:v>0</x:v>
      </x:c>
      <x:c r="Q50">
        <x:v>0</x:v>
      </x:c>
      <x:c r="R50" s="10">
        <x:v>0</x:v>
      </x:c>
      <x:c r="S50">
        <x:v>0</x:v>
      </x:c>
      <x:c r="T50">
        <x:v>0</x:v>
      </x:c>
      <x:c r="U50" s="10">
        <x:v>0</x:v>
      </x:c>
      <x:c r="W50" s="11" t="n">
        <x:f>Summary!$B$2</x:f>
        <x:v>0.15</x:v>
      </x:c>
      <x:c r="X50" s="11" t="n">
        <x:f>IFERROR(AD50-Summary!$B$2,"")</x:f>
        <x:v>-0.15</x:v>
      </x:c>
      <x:c r="Y50" s="10" t="str">
        <x:f>IFERROR((U50/Q50)*Summary!$B$2,"")</x:f>
      </x:c>
      <x:c r="Z50" s="12" t="n">
        <x:f>IFERROR(Q50/O50,0)</x:f>
        <x:v>0</x:v>
      </x:c>
      <x:c r="AA50" s="12" t="n">
        <x:f>IFERROR(T50/Q50,0)</x:f>
        <x:v>0</x:v>
      </x:c>
      <x:c r="AB50" s="10" t="n">
        <x:f>IFERROR(R50/Q50,0)</x:f>
        <x:v>0</x:v>
      </x:c>
      <x:c r="AC50" s="10" t="n">
        <x:f>IFERROR(U50/R50,0)</x:f>
        <x:v>0</x:v>
      </x:c>
      <x:c r="AD50" s="12" t="n">
        <x:f>IFERROR(R50/U50,0)</x:f>
        <x:v>0</x:v>
      </x:c>
      <x:c r="AE50" s="10" t="n">
        <x:f>IFERROR(U50/Q50,0)</x:f>
        <x:v>0</x:v>
      </x:c>
      <x:c r="AF50" s="10" t="n">
        <x:f>IF(Q50=0,M50,IF(U50=0,IF(Q50&gt;=10,MAX(0.02,M50*0.7),M50),IF(AD50=0,M50,MAX(0.02,IF(AD50&gt;Summary!$B$2,M50*Summary!$B$2/AD50,MIN(M50*1.2,M50*Summary!$B$2/AD50))))))</x:f>
        <x:v>1.4</x:v>
      </x:c>
      <x:c r="AG50" s="11" t="n">
        <x:f>IFERROR(AF50/M50-1,0)</x:f>
        <x:v>0</x:v>
      </x:c>
      <x:c r="AH50" t="str">
        <x:f>IF(Q50=0,"Need clicks",IF(AND(U50=0,Q50&gt;=10),"No sales: lower/pause",IF(AND(AD50&gt;Summary!$B$2,T50&gt;0),"Over target: reduce",IF(AND(AD50&lt;=Summary!$B$2,T50&gt;0),"At/under target: scale/hold",IF(AND(Q50&gt;0,T50=0),"Collect data","Review")))))</x:f>
        <x:v>Need clicks</x:v>
      </x:c>
      <x:c r="AI50" s="10" t="n">
        <x:f>IFERROR(IF(U50=0,R50,MAX(0,R50-(U50*Summary!$B$2))),0)</x:f>
        <x:v>0</x:v>
      </x:c>
      <x:c r="AJ50" t="str">
        <x:f>IF(AH50="No sales: lower/pause","Waste",IF(AH50="Over target: reduce","Inefficient",IF(AH50="At/under target: scale/hold","Efficient",IF(AND(O50&gt;=1000,Q50=0),"High imp/no click","Data gathering"))))</x:f>
        <x:v>Data gathering</x:v>
      </x:c>
    </x:row>
    <x:row r="51">
      <x:c r="A51" t="s">
        <x:v>22</x:v>
      </x:c>
      <x:c r="B51" t="s">
        <x:v>102</x:v>
      </x:c>
      <x:c r="C51" t="s">
        <x:v>22</x:v>
      </x:c>
      <x:c r="D51" t="s">
        <x:v>24</x:v>
      </x:c>
      <x:c r="E51" t="s">
        <x:v>63</x:v>
      </x:c>
      <x:c r="F51" t="s">
        <x:v>26</x:v>
      </x:c>
      <x:c r="G51" t="s">
        <x:v>27</x:v>
      </x:c>
      <x:c r="H51" t="s">
        <x:v>100</x:v>
      </x:c>
      <x:c r="I51">
        <x:v>1</x:v>
      </x:c>
      <x:c r="L51">
        <x:v>0</x:v>
      </x:c>
      <x:c r="M51">
        <x:v>1.88</x:v>
      </x:c>
      <x:c r="N51">
        <x:v>2.42</x:v>
      </x:c>
      <x:c r="O51">
        <x:v>7</x:v>
      </x:c>
      <x:c r="P51">
        <x:v>0</x:v>
      </x:c>
      <x:c r="Q51">
        <x:v>0</x:v>
      </x:c>
      <x:c r="R51" s="10">
        <x:v>0</x:v>
      </x:c>
      <x:c r="S51">
        <x:v>0</x:v>
      </x:c>
      <x:c r="T51">
        <x:v>0</x:v>
      </x:c>
      <x:c r="U51" s="10">
        <x:v>0</x:v>
      </x:c>
      <x:c r="W51" s="11" t="n">
        <x:f>Summary!$B$2</x:f>
        <x:v>0.15</x:v>
      </x:c>
      <x:c r="X51" s="11" t="n">
        <x:f>IFERROR(AD51-Summary!$B$2,"")</x:f>
        <x:v>-0.15</x:v>
      </x:c>
      <x:c r="Y51" s="10" t="str">
        <x:f>IFERROR((U51/Q51)*Summary!$B$2,"")</x:f>
      </x:c>
      <x:c r="Z51" s="12" t="n">
        <x:f>IFERROR(Q51/O51,0)</x:f>
        <x:v>0</x:v>
      </x:c>
      <x:c r="AA51" s="12" t="n">
        <x:f>IFERROR(T51/Q51,0)</x:f>
        <x:v>0</x:v>
      </x:c>
      <x:c r="AB51" s="10" t="n">
        <x:f>IFERROR(R51/Q51,0)</x:f>
        <x:v>0</x:v>
      </x:c>
      <x:c r="AC51" s="10" t="n">
        <x:f>IFERROR(U51/R51,0)</x:f>
        <x:v>0</x:v>
      </x:c>
      <x:c r="AD51" s="12" t="n">
        <x:f>IFERROR(R51/U51,0)</x:f>
        <x:v>0</x:v>
      </x:c>
      <x:c r="AE51" s="10" t="n">
        <x:f>IFERROR(U51/Q51,0)</x:f>
        <x:v>0</x:v>
      </x:c>
      <x:c r="AF51" s="10" t="n">
        <x:f>IF(Q51=0,M51,IF(U51=0,IF(Q51&gt;=10,MAX(0.02,M51*0.7),M51),IF(AD51=0,M51,MAX(0.02,IF(AD51&gt;Summary!$B$2,M51*Summary!$B$2/AD51,MIN(M51*1.2,M51*Summary!$B$2/AD51))))))</x:f>
        <x:v>1.88</x:v>
      </x:c>
      <x:c r="AG51" s="11" t="n">
        <x:f>IFERROR(AF51/M51-1,0)</x:f>
        <x:v>0</x:v>
      </x:c>
      <x:c r="AH51" t="str">
        <x:f>IF(Q51=0,"Need clicks",IF(AND(U51=0,Q51&gt;=10),"No sales: lower/pause",IF(AND(AD51&gt;Summary!$B$2,T51&gt;0),"Over target: reduce",IF(AND(AD51&lt;=Summary!$B$2,T51&gt;0),"At/under target: scale/hold",IF(AND(Q51&gt;0,T51=0),"Collect data","Review")))))</x:f>
        <x:v>Need clicks</x:v>
      </x:c>
      <x:c r="AI51" s="10" t="n">
        <x:f>IFERROR(IF(U51=0,R51,MAX(0,R51-(U51*Summary!$B$2))),0)</x:f>
        <x:v>0</x:v>
      </x:c>
      <x:c r="AJ51" t="str">
        <x:f>IF(AH51="No sales: lower/pause","Waste",IF(AH51="Over target: reduce","Inefficient",IF(AH51="At/under target: scale/hold","Efficient",IF(AND(O51&gt;=1000,Q51=0),"High imp/no click","Data gathering"))))</x:f>
        <x:v>Data gathering</x:v>
      </x:c>
    </x:row>
    <x:row r="52">
      <x:c r="A52" t="s">
        <x:v>22</x:v>
      </x:c>
      <x:c r="B52" t="s">
        <x:v>103</x:v>
      </x:c>
      <x:c r="C52" t="s">
        <x:v>22</x:v>
      </x:c>
      <x:c r="D52" t="s">
        <x:v>24</x:v>
      </x:c>
      <x:c r="E52" t="s">
        <x:v>63</x:v>
      </x:c>
      <x:c r="F52" t="s">
        <x:v>26</x:v>
      </x:c>
      <x:c r="G52" t="s">
        <x:v>27</x:v>
      </x:c>
      <x:c r="H52" t="s">
        <x:v>100</x:v>
      </x:c>
      <x:c r="I52">
        <x:v>1</x:v>
      </x:c>
      <x:c r="L52">
        <x:v>0</x:v>
      </x:c>
      <x:c r="M52">
        <x:v>1.37</x:v>
      </x:c>
      <x:c r="N52">
        <x:v>1.03</x:v>
      </x:c>
      <x:c r="O52">
        <x:v>3</x:v>
      </x:c>
      <x:c r="P52">
        <x:v>0</x:v>
      </x:c>
      <x:c r="Q52">
        <x:v>0</x:v>
      </x:c>
      <x:c r="R52" s="10">
        <x:v>0</x:v>
      </x:c>
      <x:c r="S52">
        <x:v>0</x:v>
      </x:c>
      <x:c r="T52">
        <x:v>0</x:v>
      </x:c>
      <x:c r="U52" s="10">
        <x:v>0</x:v>
      </x:c>
      <x:c r="W52" s="11" t="n">
        <x:f>Summary!$B$2</x:f>
        <x:v>0.15</x:v>
      </x:c>
      <x:c r="X52" s="11" t="n">
        <x:f>IFERROR(AD52-Summary!$B$2,"")</x:f>
        <x:v>-0.15</x:v>
      </x:c>
      <x:c r="Y52" s="10" t="str">
        <x:f>IFERROR((U52/Q52)*Summary!$B$2,"")</x:f>
      </x:c>
      <x:c r="Z52" s="12" t="n">
        <x:f>IFERROR(Q52/O52,0)</x:f>
        <x:v>0</x:v>
      </x:c>
      <x:c r="AA52" s="12" t="n">
        <x:f>IFERROR(T52/Q52,0)</x:f>
        <x:v>0</x:v>
      </x:c>
      <x:c r="AB52" s="10" t="n">
        <x:f>IFERROR(R52/Q52,0)</x:f>
        <x:v>0</x:v>
      </x:c>
      <x:c r="AC52" s="10" t="n">
        <x:f>IFERROR(U52/R52,0)</x:f>
        <x:v>0</x:v>
      </x:c>
      <x:c r="AD52" s="12" t="n">
        <x:f>IFERROR(R52/U52,0)</x:f>
        <x:v>0</x:v>
      </x:c>
      <x:c r="AE52" s="10" t="n">
        <x:f>IFERROR(U52/Q52,0)</x:f>
        <x:v>0</x:v>
      </x:c>
      <x:c r="AF52" s="10" t="n">
        <x:f>IF(Q52=0,M52,IF(U52=0,IF(Q52&gt;=10,MAX(0.02,M52*0.7),M52),IF(AD52=0,M52,MAX(0.02,IF(AD52&gt;Summary!$B$2,M52*Summary!$B$2/AD52,MIN(M52*1.2,M52*Summary!$B$2/AD52))))))</x:f>
        <x:v>1.37</x:v>
      </x:c>
      <x:c r="AG52" s="11" t="n">
        <x:f>IFERROR(AF52/M52-1,0)</x:f>
        <x:v>0</x:v>
      </x:c>
      <x:c r="AH52" t="str">
        <x:f>IF(Q52=0,"Need clicks",IF(AND(U52=0,Q52&gt;=10),"No sales: lower/pause",IF(AND(AD52&gt;Summary!$B$2,T52&gt;0),"Over target: reduce",IF(AND(AD52&lt;=Summary!$B$2,T52&gt;0),"At/under target: scale/hold",IF(AND(Q52&gt;0,T52=0),"Collect data","Review")))))</x:f>
        <x:v>Need clicks</x:v>
      </x:c>
      <x:c r="AI52" s="10" t="n">
        <x:f>IFERROR(IF(U52=0,R52,MAX(0,R52-(U52*Summary!$B$2))),0)</x:f>
        <x:v>0</x:v>
      </x:c>
      <x:c r="AJ52" t="str">
        <x:f>IF(AH52="No sales: lower/pause","Waste",IF(AH52="Over target: reduce","Inefficient",IF(AH52="At/under target: scale/hold","Efficient",IF(AND(O52&gt;=1000,Q52=0),"High imp/no click","Data gathering"))))</x:f>
        <x:v>Data gathering</x:v>
      </x:c>
    </x:row>
    <x:row r="53">
      <x:c r="A53" t="s">
        <x:v>22</x:v>
      </x:c>
      <x:c r="B53" t="s">
        <x:v>104</x:v>
      </x:c>
      <x:c r="C53" t="s">
        <x:v>22</x:v>
      </x:c>
      <x:c r="D53" t="s">
        <x:v>24</x:v>
      </x:c>
      <x:c r="E53" t="s">
        <x:v>63</x:v>
      </x:c>
      <x:c r="F53" t="s">
        <x:v>26</x:v>
      </x:c>
      <x:c r="G53" t="s">
        <x:v>27</x:v>
      </x:c>
      <x:c r="H53" t="s">
        <x:v>100</x:v>
      </x:c>
      <x:c r="I53">
        <x:v>1</x:v>
      </x:c>
      <x:c r="L53">
        <x:v>0</x:v>
      </x:c>
      <x:c r="M53">
        <x:v>1.39</x:v>
      </x:c>
      <x:c r="N53">
        <x:v>0.9</x:v>
      </x:c>
      <x:c r="O53">
        <x:v>6</x:v>
      </x:c>
      <x:c r="P53">
        <x:v>0</x:v>
      </x:c>
      <x:c r="Q53">
        <x:v>0</x:v>
      </x:c>
      <x:c r="R53" s="10">
        <x:v>0</x:v>
      </x:c>
      <x:c r="S53">
        <x:v>0</x:v>
      </x:c>
      <x:c r="T53">
        <x:v>0</x:v>
      </x:c>
      <x:c r="U53" s="10">
        <x:v>0</x:v>
      </x:c>
      <x:c r="W53" s="11" t="n">
        <x:f>Summary!$B$2</x:f>
        <x:v>0.15</x:v>
      </x:c>
      <x:c r="X53" s="11" t="n">
        <x:f>IFERROR(AD53-Summary!$B$2,"")</x:f>
        <x:v>-0.15</x:v>
      </x:c>
      <x:c r="Y53" s="10" t="str">
        <x:f>IFERROR((U53/Q53)*Summary!$B$2,"")</x:f>
      </x:c>
      <x:c r="Z53" s="12" t="n">
        <x:f>IFERROR(Q53/O53,0)</x:f>
        <x:v>0</x:v>
      </x:c>
      <x:c r="AA53" s="12" t="n">
        <x:f>IFERROR(T53/Q53,0)</x:f>
        <x:v>0</x:v>
      </x:c>
      <x:c r="AB53" s="10" t="n">
        <x:f>IFERROR(R53/Q53,0)</x:f>
        <x:v>0</x:v>
      </x:c>
      <x:c r="AC53" s="10" t="n">
        <x:f>IFERROR(U53/R53,0)</x:f>
        <x:v>0</x:v>
      </x:c>
      <x:c r="AD53" s="12" t="n">
        <x:f>IFERROR(R53/U53,0)</x:f>
        <x:v>0</x:v>
      </x:c>
      <x:c r="AE53" s="10" t="n">
        <x:f>IFERROR(U53/Q53,0)</x:f>
        <x:v>0</x:v>
      </x:c>
      <x:c r="AF53" s="10" t="n">
        <x:f>IF(Q53=0,M53,IF(U53=0,IF(Q53&gt;=10,MAX(0.02,M53*0.7),M53),IF(AD53=0,M53,MAX(0.02,IF(AD53&gt;Summary!$B$2,M53*Summary!$B$2/AD53,MIN(M53*1.2,M53*Summary!$B$2/AD53))))))</x:f>
        <x:v>1.39</x:v>
      </x:c>
      <x:c r="AG53" s="11" t="n">
        <x:f>IFERROR(AF53/M53-1,0)</x:f>
        <x:v>0</x:v>
      </x:c>
      <x:c r="AH53" t="str">
        <x:f>IF(Q53=0,"Need clicks",IF(AND(U53=0,Q53&gt;=10),"No sales: lower/pause",IF(AND(AD53&gt;Summary!$B$2,T53&gt;0),"Over target: reduce",IF(AND(AD53&lt;=Summary!$B$2,T53&gt;0),"At/under target: scale/hold",IF(AND(Q53&gt;0,T53=0),"Collect data","Review")))))</x:f>
        <x:v>Need clicks</x:v>
      </x:c>
      <x:c r="AI53" s="10" t="n">
        <x:f>IFERROR(IF(U53=0,R53,MAX(0,R53-(U53*Summary!$B$2))),0)</x:f>
        <x:v>0</x:v>
      </x:c>
      <x:c r="AJ53" t="str">
        <x:f>IF(AH53="No sales: lower/pause","Waste",IF(AH53="Over target: reduce","Inefficient",IF(AH53="At/under target: scale/hold","Efficient",IF(AND(O53&gt;=1000,Q53=0),"High imp/no click","Data gathering"))))</x:f>
        <x:v>Data gathering</x:v>
      </x:c>
    </x:row>
    <x:row r="54">
      <x:c r="A54" t="s">
        <x:v>22</x:v>
      </x:c>
      <x:c r="B54" t="s">
        <x:v>105</x:v>
      </x:c>
      <x:c r="C54" t="s">
        <x:v>22</x:v>
      </x:c>
      <x:c r="D54" t="s">
        <x:v>24</x:v>
      </x:c>
      <x:c r="E54" t="s">
        <x:v>63</x:v>
      </x:c>
      <x:c r="F54" t="s">
        <x:v>26</x:v>
      </x:c>
      <x:c r="G54" t="s">
        <x:v>27</x:v>
      </x:c>
      <x:c r="H54" t="s">
        <x:v>106</x:v>
      </x:c>
      <x:c r="I54">
        <x:v>60</x:v>
      </x:c>
      <x:c r="L54">
        <x:v>0</x:v>
      </x:c>
      <x:c r="M54">
        <x:v>0.72</x:v>
      </x:c>
      <x:c r="N54">
        <x:v>6.05</x:v>
      </x:c>
      <x:c r="O54">
        <x:v>33</x:v>
      </x:c>
      <x:c r="P54">
        <x:v>0</x:v>
      </x:c>
      <x:c r="Q54">
        <x:v>0</x:v>
      </x:c>
      <x:c r="R54" s="10">
        <x:v>0</x:v>
      </x:c>
      <x:c r="S54">
        <x:v>0</x:v>
      </x:c>
      <x:c r="T54">
        <x:v>0</x:v>
      </x:c>
      <x:c r="U54" s="10">
        <x:v>0</x:v>
      </x:c>
      <x:c r="W54" s="11" t="n">
        <x:f>Summary!$B$2</x:f>
        <x:v>0.15</x:v>
      </x:c>
      <x:c r="X54" s="11" t="n">
        <x:f>IFERROR(AD54-Summary!$B$2,"")</x:f>
        <x:v>-0.15</x:v>
      </x:c>
      <x:c r="Y54" s="10" t="str">
        <x:f>IFERROR((U54/Q54)*Summary!$B$2,"")</x:f>
      </x:c>
      <x:c r="Z54" s="12" t="n">
        <x:f>IFERROR(Q54/O54,0)</x:f>
        <x:v>0</x:v>
      </x:c>
      <x:c r="AA54" s="12" t="n">
        <x:f>IFERROR(T54/Q54,0)</x:f>
        <x:v>0</x:v>
      </x:c>
      <x:c r="AB54" s="10" t="n">
        <x:f>IFERROR(R54/Q54,0)</x:f>
        <x:v>0</x:v>
      </x:c>
      <x:c r="AC54" s="10" t="n">
        <x:f>IFERROR(U54/R54,0)</x:f>
        <x:v>0</x:v>
      </x:c>
      <x:c r="AD54" s="12" t="n">
        <x:f>IFERROR(R54/U54,0)</x:f>
        <x:v>0</x:v>
      </x:c>
      <x:c r="AE54" s="10" t="n">
        <x:f>IFERROR(U54/Q54,0)</x:f>
        <x:v>0</x:v>
      </x:c>
      <x:c r="AF54" s="10" t="n">
        <x:f>IF(Q54=0,M54,IF(U54=0,IF(Q54&gt;=10,MAX(0.02,M54*0.7),M54),IF(AD54=0,M54,MAX(0.02,IF(AD54&gt;Summary!$B$2,M54*Summary!$B$2/AD54,MIN(M54*1.2,M54*Summary!$B$2/AD54))))))</x:f>
        <x:v>0.72</x:v>
      </x:c>
      <x:c r="AG54" s="11" t="n">
        <x:f>IFERROR(AF54/M54-1,0)</x:f>
        <x:v>0</x:v>
      </x:c>
      <x:c r="AH54" t="str">
        <x:f>IF(Q54=0,"Need clicks",IF(AND(U54=0,Q54&gt;=10),"No sales: lower/pause",IF(AND(AD54&gt;Summary!$B$2,T54&gt;0),"Over target: reduce",IF(AND(AD54&lt;=Summary!$B$2,T54&gt;0),"At/under target: scale/hold",IF(AND(Q54&gt;0,T54=0),"Collect data","Review")))))</x:f>
        <x:v>Need clicks</x:v>
      </x:c>
      <x:c r="AI54" s="10" t="n">
        <x:f>IFERROR(IF(U54=0,R54,MAX(0,R54-(U54*Summary!$B$2))),0)</x:f>
        <x:v>0</x:v>
      </x:c>
      <x:c r="AJ54" t="str">
        <x:f>IF(AH54="No sales: lower/pause","Waste",IF(AH54="Over target: reduce","Inefficient",IF(AH54="At/under target: scale/hold","Efficient",IF(AND(O54&gt;=1000,Q54=0),"High imp/no click","Data gathering"))))</x:f>
        <x:v>Data gathering</x:v>
      </x:c>
    </x:row>
    <x:row r="55">
      <x:c r="A55" t="s">
        <x:v>22</x:v>
      </x:c>
      <x:c r="B55" t="s">
        <x:v>107</x:v>
      </x:c>
      <x:c r="C55" t="s">
        <x:v>22</x:v>
      </x:c>
      <x:c r="D55" t="s">
        <x:v>24</x:v>
      </x:c>
      <x:c r="E55" t="s">
        <x:v>63</x:v>
      </x:c>
      <x:c r="F55" t="s">
        <x:v>26</x:v>
      </x:c>
      <x:c r="G55" t="s">
        <x:v>27</x:v>
      </x:c>
      <x:c r="H55" t="s">
        <x:v>106</x:v>
      </x:c>
      <x:c r="I55">
        <x:v>60</x:v>
      </x:c>
      <x:c r="L55">
        <x:v>0</x:v>
      </x:c>
      <x:c r="M55">
        <x:v>0.72</x:v>
      </x:c>
      <x:c r="N55">
        <x:v>7.14</x:v>
      </x:c>
      <x:c r="O55">
        <x:v>19</x:v>
      </x:c>
      <x:c r="P55">
        <x:v>0</x:v>
      </x:c>
      <x:c r="Q55">
        <x:v>0</x:v>
      </x:c>
      <x:c r="R55" s="10">
        <x:v>0</x:v>
      </x:c>
      <x:c r="S55">
        <x:v>0</x:v>
      </x:c>
      <x:c r="T55">
        <x:v>0</x:v>
      </x:c>
      <x:c r="U55" s="10">
        <x:v>0</x:v>
      </x:c>
      <x:c r="W55" s="11" t="n">
        <x:f>Summary!$B$2</x:f>
        <x:v>0.15</x:v>
      </x:c>
      <x:c r="X55" s="11" t="n">
        <x:f>IFERROR(AD55-Summary!$B$2,"")</x:f>
        <x:v>-0.15</x:v>
      </x:c>
      <x:c r="Y55" s="10" t="str">
        <x:f>IFERROR((U55/Q55)*Summary!$B$2,"")</x:f>
      </x:c>
      <x:c r="Z55" s="12" t="n">
        <x:f>IFERROR(Q55/O55,0)</x:f>
        <x:v>0</x:v>
      </x:c>
      <x:c r="AA55" s="12" t="n">
        <x:f>IFERROR(T55/Q55,0)</x:f>
        <x:v>0</x:v>
      </x:c>
      <x:c r="AB55" s="10" t="n">
        <x:f>IFERROR(R55/Q55,0)</x:f>
        <x:v>0</x:v>
      </x:c>
      <x:c r="AC55" s="10" t="n">
        <x:f>IFERROR(U55/R55,0)</x:f>
        <x:v>0</x:v>
      </x:c>
      <x:c r="AD55" s="12" t="n">
        <x:f>IFERROR(R55/U55,0)</x:f>
        <x:v>0</x:v>
      </x:c>
      <x:c r="AE55" s="10" t="n">
        <x:f>IFERROR(U55/Q55,0)</x:f>
        <x:v>0</x:v>
      </x:c>
      <x:c r="AF55" s="10" t="n">
        <x:f>IF(Q55=0,M55,IF(U55=0,IF(Q55&gt;=10,MAX(0.02,M55*0.7),M55),IF(AD55=0,M55,MAX(0.02,IF(AD55&gt;Summary!$B$2,M55*Summary!$B$2/AD55,MIN(M55*1.2,M55*Summary!$B$2/AD55))))))</x:f>
        <x:v>0.72</x:v>
      </x:c>
      <x:c r="AG55" s="11" t="n">
        <x:f>IFERROR(AF55/M55-1,0)</x:f>
        <x:v>0</x:v>
      </x:c>
      <x:c r="AH55" t="str">
        <x:f>IF(Q55=0,"Need clicks",IF(AND(U55=0,Q55&gt;=10),"No sales: lower/pause",IF(AND(AD55&gt;Summary!$B$2,T55&gt;0),"Over target: reduce",IF(AND(AD55&lt;=Summary!$B$2,T55&gt;0),"At/under target: scale/hold",IF(AND(Q55&gt;0,T55=0),"Collect data","Review")))))</x:f>
        <x:v>Need clicks</x:v>
      </x:c>
      <x:c r="AI55" s="10" t="n">
        <x:f>IFERROR(IF(U55=0,R55,MAX(0,R55-(U55*Summary!$B$2))),0)</x:f>
        <x:v>0</x:v>
      </x:c>
      <x:c r="AJ55" t="str">
        <x:f>IF(AH55="No sales: lower/pause","Waste",IF(AH55="Over target: reduce","Inefficient",IF(AH55="At/under target: scale/hold","Efficient",IF(AND(O55&gt;=1000,Q55=0),"High imp/no click","Data gathering"))))</x:f>
        <x:v>Data gathering</x:v>
      </x:c>
    </x:row>
    <x:row r="56">
      <x:c r="A56" t="s">
        <x:v>22</x:v>
      </x:c>
      <x:c r="B56" t="s">
        <x:v>108</x:v>
      </x:c>
      <x:c r="C56" t="s">
        <x:v>22</x:v>
      </x:c>
      <x:c r="D56" t="s">
        <x:v>24</x:v>
      </x:c>
      <x:c r="E56" t="s">
        <x:v>63</x:v>
      </x:c>
      <x:c r="F56" t="s">
        <x:v>26</x:v>
      </x:c>
      <x:c r="G56" t="s">
        <x:v>27</x:v>
      </x:c>
      <x:c r="H56" t="s">
        <x:v>109</x:v>
      </x:c>
      <x:c r="I56">
        <x:v>1</x:v>
      </x:c>
      <x:c r="L56">
        <x:v>0</x:v>
      </x:c>
      <x:c r="M56">
        <x:v>7.14</x:v>
      </x:c>
      <x:c r="N56">
        <x:v>7.14</x:v>
      </x:c>
      <x:c r="O56">
        <x:v>176</x:v>
      </x:c>
      <x:c r="P56">
        <x:v>5.89448865310934E-2</x:v>
      </x:c>
      <x:c r="Q56">
        <x:v>0</x:v>
      </x:c>
      <x:c r="R56" s="10">
        <x:v>0</x:v>
      </x:c>
      <x:c r="S56">
        <x:v>0</x:v>
      </x:c>
      <x:c r="T56">
        <x:v>0</x:v>
      </x:c>
      <x:c r="U56" s="10">
        <x:v>0</x:v>
      </x:c>
      <x:c r="W56" s="11" t="n">
        <x:f>Summary!$B$2</x:f>
        <x:v>0.15</x:v>
      </x:c>
      <x:c r="X56" s="11" t="n">
        <x:f>IFERROR(AD56-Summary!$B$2,"")</x:f>
        <x:v>-0.15</x:v>
      </x:c>
      <x:c r="Y56" s="10" t="str">
        <x:f>IFERROR((U56/Q56)*Summary!$B$2,"")</x:f>
      </x:c>
      <x:c r="Z56" s="12" t="n">
        <x:f>IFERROR(Q56/O56,0)</x:f>
        <x:v>0</x:v>
      </x:c>
      <x:c r="AA56" s="12" t="n">
        <x:f>IFERROR(T56/Q56,0)</x:f>
        <x:v>0</x:v>
      </x:c>
      <x:c r="AB56" s="10" t="n">
        <x:f>IFERROR(R56/Q56,0)</x:f>
        <x:v>0</x:v>
      </x:c>
      <x:c r="AC56" s="10" t="n">
        <x:f>IFERROR(U56/R56,0)</x:f>
        <x:v>0</x:v>
      </x:c>
      <x:c r="AD56" s="12" t="n">
        <x:f>IFERROR(R56/U56,0)</x:f>
        <x:v>0</x:v>
      </x:c>
      <x:c r="AE56" s="10" t="n">
        <x:f>IFERROR(U56/Q56,0)</x:f>
        <x:v>0</x:v>
      </x:c>
      <x:c r="AF56" s="10" t="n">
        <x:f>IF(Q56=0,M56,IF(U56=0,IF(Q56&gt;=10,MAX(0.02,M56*0.7),M56),IF(AD56=0,M56,MAX(0.02,IF(AD56&gt;Summary!$B$2,M56*Summary!$B$2/AD56,MIN(M56*1.2,M56*Summary!$B$2/AD56))))))</x:f>
        <x:v>7.14</x:v>
      </x:c>
      <x:c r="AG56" s="11" t="n">
        <x:f>IFERROR(AF56/M56-1,0)</x:f>
        <x:v>0</x:v>
      </x:c>
      <x:c r="AH56" t="str">
        <x:f>IF(Q56=0,"Need clicks",IF(AND(U56=0,Q56&gt;=10),"No sales: lower/pause",IF(AND(AD56&gt;Summary!$B$2,T56&gt;0),"Over target: reduce",IF(AND(AD56&lt;=Summary!$B$2,T56&gt;0),"At/under target: scale/hold",IF(AND(Q56&gt;0,T56=0),"Collect data","Review")))))</x:f>
        <x:v>Need clicks</x:v>
      </x:c>
      <x:c r="AI56" s="10" t="n">
        <x:f>IFERROR(IF(U56=0,R56,MAX(0,R56-(U56*Summary!$B$2))),0)</x:f>
        <x:v>0</x:v>
      </x:c>
      <x:c r="AJ56" t="str">
        <x:f>IF(AH56="No sales: lower/pause","Waste",IF(AH56="Over target: reduce","Inefficient",IF(AH56="At/under target: scale/hold","Efficient",IF(AND(O56&gt;=1000,Q56=0),"High imp/no click","Data gathering"))))</x:f>
        <x:v>Data gathering</x:v>
      </x:c>
    </x:row>
    <x:row r="57">
      <x:c r="A57" t="s">
        <x:v>22</x:v>
      </x:c>
      <x:c r="B57" t="s">
        <x:v>110</x:v>
      </x:c>
      <x:c r="C57" t="s">
        <x:v>22</x:v>
      </x:c>
      <x:c r="D57" t="s">
        <x:v>24</x:v>
      </x:c>
      <x:c r="E57" t="s">
        <x:v>63</x:v>
      </x:c>
      <x:c r="F57" t="s">
        <x:v>26</x:v>
      </x:c>
      <x:c r="G57" t="s">
        <x:v>27</x:v>
      </x:c>
      <x:c r="H57" t="s">
        <x:v>109</x:v>
      </x:c>
      <x:c r="I57">
        <x:v>1</x:v>
      </x:c>
      <x:c r="L57">
        <x:v>0</x:v>
      </x:c>
      <x:c r="M57">
        <x:v>7.0000000000000007E-2</x:v>
      </x:c>
      <x:c r="N57">
        <x:v>1.46</x:v>
      </x:c>
      <x:c r="O57">
        <x:v>1</x:v>
      </x:c>
      <x:c r="P57">
        <x:v>0</x:v>
      </x:c>
      <x:c r="Q57">
        <x:v>0</x:v>
      </x:c>
      <x:c r="R57" s="10">
        <x:v>0</x:v>
      </x:c>
      <x:c r="S57">
        <x:v>0</x:v>
      </x:c>
      <x:c r="T57">
        <x:v>0</x:v>
      </x:c>
      <x:c r="U57" s="10">
        <x:v>0</x:v>
      </x:c>
      <x:c r="W57" s="11" t="n">
        <x:f>Summary!$B$2</x:f>
        <x:v>0.15</x:v>
      </x:c>
      <x:c r="X57" s="11" t="n">
        <x:f>IFERROR(AD57-Summary!$B$2,"")</x:f>
        <x:v>-0.15</x:v>
      </x:c>
      <x:c r="Y57" s="10" t="str">
        <x:f>IFERROR((U57/Q57)*Summary!$B$2,"")</x:f>
      </x:c>
      <x:c r="Z57" s="12" t="n">
        <x:f>IFERROR(Q57/O57,0)</x:f>
        <x:v>0</x:v>
      </x:c>
      <x:c r="AA57" s="12" t="n">
        <x:f>IFERROR(T57/Q57,0)</x:f>
        <x:v>0</x:v>
      </x:c>
      <x:c r="AB57" s="10" t="n">
        <x:f>IFERROR(R57/Q57,0)</x:f>
        <x:v>0</x:v>
      </x:c>
      <x:c r="AC57" s="10" t="n">
        <x:f>IFERROR(U57/R57,0)</x:f>
        <x:v>0</x:v>
      </x:c>
      <x:c r="AD57" s="12" t="n">
        <x:f>IFERROR(R57/U57,0)</x:f>
        <x:v>0</x:v>
      </x:c>
      <x:c r="AE57" s="10" t="n">
        <x:f>IFERROR(U57/Q57,0)</x:f>
        <x:v>0</x:v>
      </x:c>
      <x:c r="AF57" s="10" t="n">
        <x:f>IF(Q57=0,M57,IF(U57=0,IF(Q57&gt;=10,MAX(0.02,M57*0.7),M57),IF(AD57=0,M57,MAX(0.02,IF(AD57&gt;Summary!$B$2,M57*Summary!$B$2/AD57,MIN(M57*1.2,M57*Summary!$B$2/AD57))))))</x:f>
        <x:v>0.07</x:v>
      </x:c>
      <x:c r="AG57" s="11" t="n">
        <x:f>IFERROR(AF57/M57-1,0)</x:f>
        <x:v>0</x:v>
      </x:c>
      <x:c r="AH57" t="str">
        <x:f>IF(Q57=0,"Need clicks",IF(AND(U57=0,Q57&gt;=10),"No sales: lower/pause",IF(AND(AD57&gt;Summary!$B$2,T57&gt;0),"Over target: reduce",IF(AND(AD57&lt;=Summary!$B$2,T57&gt;0),"At/under target: scale/hold",IF(AND(Q57&gt;0,T57=0),"Collect data","Review")))))</x:f>
        <x:v>Need clicks</x:v>
      </x:c>
      <x:c r="AI57" s="10" t="n">
        <x:f>IFERROR(IF(U57=0,R57,MAX(0,R57-(U57*Summary!$B$2))),0)</x:f>
        <x:v>0</x:v>
      </x:c>
      <x:c r="AJ57" t="str">
        <x:f>IF(AH57="No sales: lower/pause","Waste",IF(AH57="Over target: reduce","Inefficient",IF(AH57="At/under target: scale/hold","Efficient",IF(AND(O57&gt;=1000,Q57=0),"High imp/no click","Data gathering"))))</x:f>
        <x:v>Data gathering</x:v>
      </x:c>
    </x:row>
    <x:row r="58">
      <x:c r="A58" t="s">
        <x:v>22</x:v>
      </x:c>
      <x:c r="B58" t="s">
        <x:v>111</x:v>
      </x:c>
      <x:c r="C58" t="s">
        <x:v>22</x:v>
      </x:c>
      <x:c r="D58" t="s">
        <x:v>24</x:v>
      </x:c>
      <x:c r="E58" t="s">
        <x:v>63</x:v>
      </x:c>
      <x:c r="F58" t="s">
        <x:v>26</x:v>
      </x:c>
      <x:c r="G58" t="s">
        <x:v>27</x:v>
      </x:c>
      <x:c r="H58" t="s">
        <x:v>109</x:v>
      </x:c>
      <x:c r="I58">
        <x:v>1</x:v>
      </x:c>
      <x:c r="L58">
        <x:v>0</x:v>
      </x:c>
      <x:c r="M58">
        <x:v>0.11</x:v>
      </x:c>
      <x:c r="N58">
        <x:v>1.74</x:v>
      </x:c>
      <x:c r="O58">
        <x:v>5</x:v>
      </x:c>
      <x:c r="P58">
        <x:v>0</x:v>
      </x:c>
      <x:c r="Q58">
        <x:v>0</x:v>
      </x:c>
      <x:c r="R58" s="10">
        <x:v>0</x:v>
      </x:c>
      <x:c r="S58">
        <x:v>0</x:v>
      </x:c>
      <x:c r="T58">
        <x:v>0</x:v>
      </x:c>
      <x:c r="U58" s="10">
        <x:v>0</x:v>
      </x:c>
      <x:c r="W58" s="11" t="n">
        <x:f>Summary!$B$2</x:f>
        <x:v>0.15</x:v>
      </x:c>
      <x:c r="X58" s="11" t="n">
        <x:f>IFERROR(AD58-Summary!$B$2,"")</x:f>
        <x:v>-0.15</x:v>
      </x:c>
      <x:c r="Y58" s="10" t="str">
        <x:f>IFERROR((U58/Q58)*Summary!$B$2,"")</x:f>
      </x:c>
      <x:c r="Z58" s="12" t="n">
        <x:f>IFERROR(Q58/O58,0)</x:f>
        <x:v>0</x:v>
      </x:c>
      <x:c r="AA58" s="12" t="n">
        <x:f>IFERROR(T58/Q58,0)</x:f>
        <x:v>0</x:v>
      </x:c>
      <x:c r="AB58" s="10" t="n">
        <x:f>IFERROR(R58/Q58,0)</x:f>
        <x:v>0</x:v>
      </x:c>
      <x:c r="AC58" s="10" t="n">
        <x:f>IFERROR(U58/R58,0)</x:f>
        <x:v>0</x:v>
      </x:c>
      <x:c r="AD58" s="12" t="n">
        <x:f>IFERROR(R58/U58,0)</x:f>
        <x:v>0</x:v>
      </x:c>
      <x:c r="AE58" s="10" t="n">
        <x:f>IFERROR(U58/Q58,0)</x:f>
        <x:v>0</x:v>
      </x:c>
      <x:c r="AF58" s="10" t="n">
        <x:f>IF(Q58=0,M58,IF(U58=0,IF(Q58&gt;=10,MAX(0.02,M58*0.7),M58),IF(AD58=0,M58,MAX(0.02,IF(AD58&gt;Summary!$B$2,M58*Summary!$B$2/AD58,MIN(M58*1.2,M58*Summary!$B$2/AD58))))))</x:f>
        <x:v>0.11</x:v>
      </x:c>
      <x:c r="AG58" s="11" t="n">
        <x:f>IFERROR(AF58/M58-1,0)</x:f>
        <x:v>0</x:v>
      </x:c>
      <x:c r="AH58" t="str">
        <x:f>IF(Q58=0,"Need clicks",IF(AND(U58=0,Q58&gt;=10),"No sales: lower/pause",IF(AND(AD58&gt;Summary!$B$2,T58&gt;0),"Over target: reduce",IF(AND(AD58&lt;=Summary!$B$2,T58&gt;0),"At/under target: scale/hold",IF(AND(Q58&gt;0,T58=0),"Collect data","Review")))))</x:f>
        <x:v>Need clicks</x:v>
      </x:c>
      <x:c r="AI58" s="10" t="n">
        <x:f>IFERROR(IF(U58=0,R58,MAX(0,R58-(U58*Summary!$B$2))),0)</x:f>
        <x:v>0</x:v>
      </x:c>
      <x:c r="AJ58" t="str">
        <x:f>IF(AH58="No sales: lower/pause","Waste",IF(AH58="Over target: reduce","Inefficient",IF(AH58="At/under target: scale/hold","Efficient",IF(AND(O58&gt;=1000,Q58=0),"High imp/no click","Data gathering"))))</x:f>
        <x:v>Data gathering</x:v>
      </x:c>
    </x:row>
    <x:row r="59">
      <x:c r="A59" t="s">
        <x:v>22</x:v>
      </x:c>
      <x:c r="B59" t="s">
        <x:v>112</x:v>
      </x:c>
      <x:c r="C59" t="s">
        <x:v>22</x:v>
      </x:c>
      <x:c r="D59" t="s">
        <x:v>24</x:v>
      </x:c>
      <x:c r="E59" t="s">
        <x:v>63</x:v>
      </x:c>
      <x:c r="F59" t="s">
        <x:v>26</x:v>
      </x:c>
      <x:c r="G59" t="s">
        <x:v>27</x:v>
      </x:c>
      <x:c r="H59" t="s">
        <x:v>109</x:v>
      </x:c>
      <x:c r="I59">
        <x:v>1</x:v>
      </x:c>
      <x:c r="L59">
        <x:v>0</x:v>
      </x:c>
      <x:c r="M59">
        <x:v>1.31</x:v>
      </x:c>
      <x:c r="N59">
        <x:v>1.31</x:v>
      </x:c>
      <x:c r="O59">
        <x:v>776</x:v>
      </x:c>
      <x:c r="P59">
        <x:v>0</x:v>
      </x:c>
      <x:c r="Q59">
        <x:v>0</x:v>
      </x:c>
      <x:c r="R59" s="10">
        <x:v>0</x:v>
      </x:c>
      <x:c r="S59">
        <x:v>0</x:v>
      </x:c>
      <x:c r="T59">
        <x:v>0</x:v>
      </x:c>
      <x:c r="U59" s="10">
        <x:v>0</x:v>
      </x:c>
      <x:c r="W59" s="11" t="n">
        <x:f>Summary!$B$2</x:f>
        <x:v>0.15</x:v>
      </x:c>
      <x:c r="X59" s="11" t="n">
        <x:f>IFERROR(AD59-Summary!$B$2,"")</x:f>
        <x:v>-0.15</x:v>
      </x:c>
      <x:c r="Y59" s="10" t="str">
        <x:f>IFERROR((U59/Q59)*Summary!$B$2,"")</x:f>
      </x:c>
      <x:c r="Z59" s="12" t="n">
        <x:f>IFERROR(Q59/O59,0)</x:f>
        <x:v>0</x:v>
      </x:c>
      <x:c r="AA59" s="12" t="n">
        <x:f>IFERROR(T59/Q59,0)</x:f>
        <x:v>0</x:v>
      </x:c>
      <x:c r="AB59" s="10" t="n">
        <x:f>IFERROR(R59/Q59,0)</x:f>
        <x:v>0</x:v>
      </x:c>
      <x:c r="AC59" s="10" t="n">
        <x:f>IFERROR(U59/R59,0)</x:f>
        <x:v>0</x:v>
      </x:c>
      <x:c r="AD59" s="12" t="n">
        <x:f>IFERROR(R59/U59,0)</x:f>
        <x:v>0</x:v>
      </x:c>
      <x:c r="AE59" s="10" t="n">
        <x:f>IFERROR(U59/Q59,0)</x:f>
        <x:v>0</x:v>
      </x:c>
      <x:c r="AF59" s="10" t="n">
        <x:f>IF(Q59=0,M59,IF(U59=0,IF(Q59&gt;=10,MAX(0.02,M59*0.7),M59),IF(AD59=0,M59,MAX(0.02,IF(AD59&gt;Summary!$B$2,M59*Summary!$B$2/AD59,MIN(M59*1.2,M59*Summary!$B$2/AD59))))))</x:f>
        <x:v>1.31</x:v>
      </x:c>
      <x:c r="AG59" s="11" t="n">
        <x:f>IFERROR(AF59/M59-1,0)</x:f>
        <x:v>0</x:v>
      </x:c>
      <x:c r="AH59" t="str">
        <x:f>IF(Q59=0,"Need clicks",IF(AND(U59=0,Q59&gt;=10),"No sales: lower/pause",IF(AND(AD59&gt;Summary!$B$2,T59&gt;0),"Over target: reduce",IF(AND(AD59&lt;=Summary!$B$2,T59&gt;0),"At/under target: scale/hold",IF(AND(Q59&gt;0,T59=0),"Collect data","Review")))))</x:f>
        <x:v>Need clicks</x:v>
      </x:c>
      <x:c r="AI59" s="10" t="n">
        <x:f>IFERROR(IF(U59=0,R59,MAX(0,R59-(U59*Summary!$B$2))),0)</x:f>
        <x:v>0</x:v>
      </x:c>
      <x:c r="AJ59" t="str">
        <x:f>IF(AH59="No sales: lower/pause","Waste",IF(AH59="Over target: reduce","Inefficient",IF(AH59="At/under target: scale/hold","Efficient",IF(AND(O59&gt;=1000,Q59=0),"High imp/no click","Data gathering"))))</x:f>
        <x:v>Data gathering</x:v>
      </x:c>
    </x:row>
    <x:row r="60">
      <x:c r="A60" t="s">
        <x:v>22</x:v>
      </x:c>
      <x:c r="B60" t="s">
        <x:v>113</x:v>
      </x:c>
      <x:c r="C60" t="s">
        <x:v>22</x:v>
      </x:c>
      <x:c r="D60" t="s">
        <x:v>24</x:v>
      </x:c>
      <x:c r="E60" t="s">
        <x:v>63</x:v>
      </x:c>
      <x:c r="F60" t="s">
        <x:v>26</x:v>
      </x:c>
      <x:c r="G60" t="s">
        <x:v>27</x:v>
      </x:c>
      <x:c r="H60" t="s">
        <x:v>109</x:v>
      </x:c>
      <x:c r="I60">
        <x:v>1</x:v>
      </x:c>
      <x:c r="L60">
        <x:v>0</x:v>
      </x:c>
      <x:c r="M60">
        <x:v>1.54</x:v>
      </x:c>
      <x:c r="N60">
        <x:v>2.71</x:v>
      </x:c>
      <x:c r="O60">
        <x:v>60</x:v>
      </x:c>
      <x:c r="P60">
        <x:v>0</x:v>
      </x:c>
      <x:c r="Q60">
        <x:v>0</x:v>
      </x:c>
      <x:c r="R60" s="10">
        <x:v>0</x:v>
      </x:c>
      <x:c r="S60">
        <x:v>0</x:v>
      </x:c>
      <x:c r="T60">
        <x:v>0</x:v>
      </x:c>
      <x:c r="U60" s="10">
        <x:v>0</x:v>
      </x:c>
      <x:c r="W60" s="11" t="n">
        <x:f>Summary!$B$2</x:f>
        <x:v>0.15</x:v>
      </x:c>
      <x:c r="X60" s="11" t="n">
        <x:f>IFERROR(AD60-Summary!$B$2,"")</x:f>
        <x:v>-0.15</x:v>
      </x:c>
      <x:c r="Y60" s="10" t="str">
        <x:f>IFERROR((U60/Q60)*Summary!$B$2,"")</x:f>
      </x:c>
      <x:c r="Z60" s="12" t="n">
        <x:f>IFERROR(Q60/O60,0)</x:f>
        <x:v>0</x:v>
      </x:c>
      <x:c r="AA60" s="12" t="n">
        <x:f>IFERROR(T60/Q60,0)</x:f>
        <x:v>0</x:v>
      </x:c>
      <x:c r="AB60" s="10" t="n">
        <x:f>IFERROR(R60/Q60,0)</x:f>
        <x:v>0</x:v>
      </x:c>
      <x:c r="AC60" s="10" t="n">
        <x:f>IFERROR(U60/R60,0)</x:f>
        <x:v>0</x:v>
      </x:c>
      <x:c r="AD60" s="12" t="n">
        <x:f>IFERROR(R60/U60,0)</x:f>
        <x:v>0</x:v>
      </x:c>
      <x:c r="AE60" s="10" t="n">
        <x:f>IFERROR(U60/Q60,0)</x:f>
        <x:v>0</x:v>
      </x:c>
      <x:c r="AF60" s="10" t="n">
        <x:f>IF(Q60=0,M60,IF(U60=0,IF(Q60&gt;=10,MAX(0.02,M60*0.7),M60),IF(AD60=0,M60,MAX(0.02,IF(AD60&gt;Summary!$B$2,M60*Summary!$B$2/AD60,MIN(M60*1.2,M60*Summary!$B$2/AD60))))))</x:f>
        <x:v>1.54</x:v>
      </x:c>
      <x:c r="AG60" s="11" t="n">
        <x:f>IFERROR(AF60/M60-1,0)</x:f>
        <x:v>0</x:v>
      </x:c>
      <x:c r="AH60" t="str">
        <x:f>IF(Q60=0,"Need clicks",IF(AND(U60=0,Q60&gt;=10),"No sales: lower/pause",IF(AND(AD60&gt;Summary!$B$2,T60&gt;0),"Over target: reduce",IF(AND(AD60&lt;=Summary!$B$2,T60&gt;0),"At/under target: scale/hold",IF(AND(Q60&gt;0,T60=0),"Collect data","Review")))))</x:f>
        <x:v>Need clicks</x:v>
      </x:c>
      <x:c r="AI60" s="10" t="n">
        <x:f>IFERROR(IF(U60=0,R60,MAX(0,R60-(U60*Summary!$B$2))),0)</x:f>
        <x:v>0</x:v>
      </x:c>
      <x:c r="AJ60" t="str">
        <x:f>IF(AH60="No sales: lower/pause","Waste",IF(AH60="Over target: reduce","Inefficient",IF(AH60="At/under target: scale/hold","Efficient",IF(AND(O60&gt;=1000,Q60=0),"High imp/no click","Data gathering"))))</x:f>
        <x:v>Data gathering</x:v>
      </x:c>
    </x:row>
    <x:row r="61">
      <x:c r="A61" t="s">
        <x:v>22</x:v>
      </x:c>
      <x:c r="B61" t="s">
        <x:v>114</x:v>
      </x:c>
      <x:c r="C61" t="s">
        <x:v>22</x:v>
      </x:c>
      <x:c r="D61" t="s">
        <x:v>24</x:v>
      </x:c>
      <x:c r="E61" t="s">
        <x:v>63</x:v>
      </x:c>
      <x:c r="F61" t="s">
        <x:v>26</x:v>
      </x:c>
      <x:c r="G61" t="s">
        <x:v>27</x:v>
      </x:c>
      <x:c r="H61" t="s">
        <x:v>109</x:v>
      </x:c>
      <x:c r="I61">
        <x:v>1</x:v>
      </x:c>
      <x:c r="L61">
        <x:v>0</x:v>
      </x:c>
      <x:c r="M61">
        <x:v>0.19</x:v>
      </x:c>
      <x:c r="N61">
        <x:v>2.37</x:v>
      </x:c>
      <x:c r="O61">
        <x:v>8</x:v>
      </x:c>
      <x:c r="P61">
        <x:v>0</x:v>
      </x:c>
      <x:c r="Q61">
        <x:v>0</x:v>
      </x:c>
      <x:c r="R61" s="10">
        <x:v>0</x:v>
      </x:c>
      <x:c r="S61">
        <x:v>0</x:v>
      </x:c>
      <x:c r="T61">
        <x:v>0</x:v>
      </x:c>
      <x:c r="U61" s="10">
        <x:v>0</x:v>
      </x:c>
      <x:c r="W61" s="11" t="n">
        <x:f>Summary!$B$2</x:f>
        <x:v>0.15</x:v>
      </x:c>
      <x:c r="X61" s="11" t="n">
        <x:f>IFERROR(AD61-Summary!$B$2,"")</x:f>
        <x:v>-0.15</x:v>
      </x:c>
      <x:c r="Y61" s="10" t="str">
        <x:f>IFERROR((U61/Q61)*Summary!$B$2,"")</x:f>
      </x:c>
      <x:c r="Z61" s="12" t="n">
        <x:f>IFERROR(Q61/O61,0)</x:f>
        <x:v>0</x:v>
      </x:c>
      <x:c r="AA61" s="12" t="n">
        <x:f>IFERROR(T61/Q61,0)</x:f>
        <x:v>0</x:v>
      </x:c>
      <x:c r="AB61" s="10" t="n">
        <x:f>IFERROR(R61/Q61,0)</x:f>
        <x:v>0</x:v>
      </x:c>
      <x:c r="AC61" s="10" t="n">
        <x:f>IFERROR(U61/R61,0)</x:f>
        <x:v>0</x:v>
      </x:c>
      <x:c r="AD61" s="12" t="n">
        <x:f>IFERROR(R61/U61,0)</x:f>
        <x:v>0</x:v>
      </x:c>
      <x:c r="AE61" s="10" t="n">
        <x:f>IFERROR(U61/Q61,0)</x:f>
        <x:v>0</x:v>
      </x:c>
      <x:c r="AF61" s="10" t="n">
        <x:f>IF(Q61=0,M61,IF(U61=0,IF(Q61&gt;=10,MAX(0.02,M61*0.7),M61),IF(AD61=0,M61,MAX(0.02,IF(AD61&gt;Summary!$B$2,M61*Summary!$B$2/AD61,MIN(M61*1.2,M61*Summary!$B$2/AD61))))))</x:f>
        <x:v>0.19</x:v>
      </x:c>
      <x:c r="AG61" s="11" t="n">
        <x:f>IFERROR(AF61/M61-1,0)</x:f>
        <x:v>0</x:v>
      </x:c>
      <x:c r="AH61" t="str">
        <x:f>IF(Q61=0,"Need clicks",IF(AND(U61=0,Q61&gt;=10),"No sales: lower/pause",IF(AND(AD61&gt;Summary!$B$2,T61&gt;0),"Over target: reduce",IF(AND(AD61&lt;=Summary!$B$2,T61&gt;0),"At/under target: scale/hold",IF(AND(Q61&gt;0,T61=0),"Collect data","Review")))))</x:f>
        <x:v>Need clicks</x:v>
      </x:c>
      <x:c r="AI61" s="10" t="n">
        <x:f>IFERROR(IF(U61=0,R61,MAX(0,R61-(U61*Summary!$B$2))),0)</x:f>
        <x:v>0</x:v>
      </x:c>
      <x:c r="AJ61" t="str">
        <x:f>IF(AH61="No sales: lower/pause","Waste",IF(AH61="Over target: reduce","Inefficient",IF(AH61="At/under target: scale/hold","Efficient",IF(AND(O61&gt;=1000,Q61=0),"High imp/no click","Data gathering"))))</x:f>
        <x:v>Data gathering</x:v>
      </x:c>
    </x:row>
    <x:row r="62">
      <x:c r="A62" t="s">
        <x:v>22</x:v>
      </x:c>
      <x:c r="B62" t="s">
        <x:v>115</x:v>
      </x:c>
      <x:c r="C62" t="s">
        <x:v>22</x:v>
      </x:c>
      <x:c r="D62" t="s">
        <x:v>24</x:v>
      </x:c>
      <x:c r="E62" t="s">
        <x:v>63</x:v>
      </x:c>
      <x:c r="F62" t="s">
        <x:v>26</x:v>
      </x:c>
      <x:c r="G62" t="s">
        <x:v>27</x:v>
      </x:c>
      <x:c r="H62" t="s">
        <x:v>116</x:v>
      </x:c>
      <x:c r="I62">
        <x:v>1</x:v>
      </x:c>
      <x:c r="L62">
        <x:v>0</x:v>
      </x:c>
      <x:c r="M62">
        <x:v>0.94</x:v>
      </x:c>
      <x:c r="N62">
        <x:v>4.79</x:v>
      </x:c>
      <x:c r="O62">
        <x:v>6</x:v>
      </x:c>
      <x:c r="P62">
        <x:v>0</x:v>
      </x:c>
      <x:c r="Q62">
        <x:v>0</x:v>
      </x:c>
      <x:c r="R62" s="10">
        <x:v>0</x:v>
      </x:c>
      <x:c r="S62">
        <x:v>0</x:v>
      </x:c>
      <x:c r="T62">
        <x:v>0</x:v>
      </x:c>
      <x:c r="U62" s="10">
        <x:v>0</x:v>
      </x:c>
      <x:c r="W62" s="11" t="n">
        <x:f>Summary!$B$2</x:f>
        <x:v>0.15</x:v>
      </x:c>
      <x:c r="X62" s="11" t="n">
        <x:f>IFERROR(AD62-Summary!$B$2,"")</x:f>
        <x:v>-0.15</x:v>
      </x:c>
      <x:c r="Y62" s="10" t="str">
        <x:f>IFERROR((U62/Q62)*Summary!$B$2,"")</x:f>
      </x:c>
      <x:c r="Z62" s="12" t="n">
        <x:f>IFERROR(Q62/O62,0)</x:f>
        <x:v>0</x:v>
      </x:c>
      <x:c r="AA62" s="12" t="n">
        <x:f>IFERROR(T62/Q62,0)</x:f>
        <x:v>0</x:v>
      </x:c>
      <x:c r="AB62" s="10" t="n">
        <x:f>IFERROR(R62/Q62,0)</x:f>
        <x:v>0</x:v>
      </x:c>
      <x:c r="AC62" s="10" t="n">
        <x:f>IFERROR(U62/R62,0)</x:f>
        <x:v>0</x:v>
      </x:c>
      <x:c r="AD62" s="12" t="n">
        <x:f>IFERROR(R62/U62,0)</x:f>
        <x:v>0</x:v>
      </x:c>
      <x:c r="AE62" s="10" t="n">
        <x:f>IFERROR(U62/Q62,0)</x:f>
        <x:v>0</x:v>
      </x:c>
      <x:c r="AF62" s="10" t="n">
        <x:f>IF(Q62=0,M62,IF(U62=0,IF(Q62&gt;=10,MAX(0.02,M62*0.7),M62),IF(AD62=0,M62,MAX(0.02,IF(AD62&gt;Summary!$B$2,M62*Summary!$B$2/AD62,MIN(M62*1.2,M62*Summary!$B$2/AD62))))))</x:f>
        <x:v>0.94</x:v>
      </x:c>
      <x:c r="AG62" s="11" t="n">
        <x:f>IFERROR(AF62/M62-1,0)</x:f>
        <x:v>0</x:v>
      </x:c>
      <x:c r="AH62" t="str">
        <x:f>IF(Q62=0,"Need clicks",IF(AND(U62=0,Q62&gt;=10),"No sales: lower/pause",IF(AND(AD62&gt;Summary!$B$2,T62&gt;0),"Over target: reduce",IF(AND(AD62&lt;=Summary!$B$2,T62&gt;0),"At/under target: scale/hold",IF(AND(Q62&gt;0,T62=0),"Collect data","Review")))))</x:f>
        <x:v>Need clicks</x:v>
      </x:c>
      <x:c r="AI62" s="10" t="n">
        <x:f>IFERROR(IF(U62=0,R62,MAX(0,R62-(U62*Summary!$B$2))),0)</x:f>
        <x:v>0</x:v>
      </x:c>
      <x:c r="AJ62" t="str">
        <x:f>IF(AH62="No sales: lower/pause","Waste",IF(AH62="Over target: reduce","Inefficient",IF(AH62="At/under target: scale/hold","Efficient",IF(AND(O62&gt;=1000,Q62=0),"High imp/no click","Data gathering"))))</x:f>
        <x:v>Data gathering</x:v>
      </x:c>
    </x:row>
    <x:row r="63">
      <x:c r="A63" t="s">
        <x:v>22</x:v>
      </x:c>
      <x:c r="B63" t="s">
        <x:v>117</x:v>
      </x:c>
      <x:c r="C63" t="s">
        <x:v>22</x:v>
      </x:c>
      <x:c r="D63" t="s">
        <x:v>24</x:v>
      </x:c>
      <x:c r="E63" t="s">
        <x:v>63</x:v>
      </x:c>
      <x:c r="F63" t="s">
        <x:v>26</x:v>
      </x:c>
      <x:c r="G63" t="s">
        <x:v>27</x:v>
      </x:c>
      <x:c r="H63" t="s">
        <x:v>116</x:v>
      </x:c>
      <x:c r="I63">
        <x:v>1</x:v>
      </x:c>
      <x:c r="L63">
        <x:v>0</x:v>
      </x:c>
      <x:c r="M63">
        <x:v>0.94</x:v>
      </x:c>
      <x:c r="N63">
        <x:v>7.14</x:v>
      </x:c>
      <x:c r="O63">
        <x:v>1</x:v>
      </x:c>
      <x:c r="P63">
        <x:v>0</x:v>
      </x:c>
      <x:c r="Q63">
        <x:v>0</x:v>
      </x:c>
      <x:c r="R63" s="10">
        <x:v>0</x:v>
      </x:c>
      <x:c r="S63">
        <x:v>0</x:v>
      </x:c>
      <x:c r="T63">
        <x:v>0</x:v>
      </x:c>
      <x:c r="U63" s="10">
        <x:v>0</x:v>
      </x:c>
      <x:c r="W63" s="11" t="n">
        <x:f>Summary!$B$2</x:f>
        <x:v>0.15</x:v>
      </x:c>
      <x:c r="X63" s="11" t="n">
        <x:f>IFERROR(AD63-Summary!$B$2,"")</x:f>
        <x:v>-0.15</x:v>
      </x:c>
      <x:c r="Y63" s="10" t="str">
        <x:f>IFERROR((U63/Q63)*Summary!$B$2,"")</x:f>
      </x:c>
      <x:c r="Z63" s="12" t="n">
        <x:f>IFERROR(Q63/O63,0)</x:f>
        <x:v>0</x:v>
      </x:c>
      <x:c r="AA63" s="12" t="n">
        <x:f>IFERROR(T63/Q63,0)</x:f>
        <x:v>0</x:v>
      </x:c>
      <x:c r="AB63" s="10" t="n">
        <x:f>IFERROR(R63/Q63,0)</x:f>
        <x:v>0</x:v>
      </x:c>
      <x:c r="AC63" s="10" t="n">
        <x:f>IFERROR(U63/R63,0)</x:f>
        <x:v>0</x:v>
      </x:c>
      <x:c r="AD63" s="12" t="n">
        <x:f>IFERROR(R63/U63,0)</x:f>
        <x:v>0</x:v>
      </x:c>
      <x:c r="AE63" s="10" t="n">
        <x:f>IFERROR(U63/Q63,0)</x:f>
        <x:v>0</x:v>
      </x:c>
      <x:c r="AF63" s="10" t="n">
        <x:f>IF(Q63=0,M63,IF(U63=0,IF(Q63&gt;=10,MAX(0.02,M63*0.7),M63),IF(AD63=0,M63,MAX(0.02,IF(AD63&gt;Summary!$B$2,M63*Summary!$B$2/AD63,MIN(M63*1.2,M63*Summary!$B$2/AD63))))))</x:f>
        <x:v>0.94</x:v>
      </x:c>
      <x:c r="AG63" s="11" t="n">
        <x:f>IFERROR(AF63/M63-1,0)</x:f>
        <x:v>0</x:v>
      </x:c>
      <x:c r="AH63" t="str">
        <x:f>IF(Q63=0,"Need clicks",IF(AND(U63=0,Q63&gt;=10),"No sales: lower/pause",IF(AND(AD63&gt;Summary!$B$2,T63&gt;0),"Over target: reduce",IF(AND(AD63&lt;=Summary!$B$2,T63&gt;0),"At/under target: scale/hold",IF(AND(Q63&gt;0,T63=0),"Collect data","Review")))))</x:f>
        <x:v>Need clicks</x:v>
      </x:c>
      <x:c r="AI63" s="10" t="n">
        <x:f>IFERROR(IF(U63=0,R63,MAX(0,R63-(U63*Summary!$B$2))),0)</x:f>
        <x:v>0</x:v>
      </x:c>
      <x:c r="AJ63" t="str">
        <x:f>IF(AH63="No sales: lower/pause","Waste",IF(AH63="Over target: reduce","Inefficient",IF(AH63="At/under target: scale/hold","Efficient",IF(AND(O63&gt;=1000,Q63=0),"High imp/no click","Data gathering"))))</x:f>
        <x:v>Data gathering</x:v>
      </x:c>
    </x:row>
    <x:row r="64">
      <x:c r="A64" t="s">
        <x:v>22</x:v>
      </x:c>
      <x:c r="B64" t="s">
        <x:v>108</x:v>
      </x:c>
      <x:c r="C64" t="s">
        <x:v>22</x:v>
      </x:c>
      <x:c r="D64" t="s">
        <x:v>24</x:v>
      </x:c>
      <x:c r="E64" t="s">
        <x:v>63</x:v>
      </x:c>
      <x:c r="F64" t="s">
        <x:v>26</x:v>
      </x:c>
      <x:c r="G64" t="s">
        <x:v>27</x:v>
      </x:c>
      <x:c r="H64" t="s">
        <x:v>116</x:v>
      </x:c>
      <x:c r="I64">
        <x:v>1</x:v>
      </x:c>
      <x:c r="L64">
        <x:v>0</x:v>
      </x:c>
      <x:c r="M64">
        <x:v>1.29</x:v>
      </x:c>
      <x:c r="N64">
        <x:v>7.14</x:v>
      </x:c>
      <x:c r="O64">
        <x:v>14</x:v>
      </x:c>
      <x:c r="P64">
        <x:v>0</x:v>
      </x:c>
      <x:c r="Q64">
        <x:v>0</x:v>
      </x:c>
      <x:c r="R64" s="10">
        <x:v>0</x:v>
      </x:c>
      <x:c r="S64">
        <x:v>0</x:v>
      </x:c>
      <x:c r="T64">
        <x:v>0</x:v>
      </x:c>
      <x:c r="U64" s="10">
        <x:v>0</x:v>
      </x:c>
      <x:c r="W64" s="11" t="n">
        <x:f>Summary!$B$2</x:f>
        <x:v>0.15</x:v>
      </x:c>
      <x:c r="X64" s="11" t="n">
        <x:f>IFERROR(AD64-Summary!$B$2,"")</x:f>
        <x:v>-0.15</x:v>
      </x:c>
      <x:c r="Y64" s="10" t="str">
        <x:f>IFERROR((U64/Q64)*Summary!$B$2,"")</x:f>
      </x:c>
      <x:c r="Z64" s="12" t="n">
        <x:f>IFERROR(Q64/O64,0)</x:f>
        <x:v>0</x:v>
      </x:c>
      <x:c r="AA64" s="12" t="n">
        <x:f>IFERROR(T64/Q64,0)</x:f>
        <x:v>0</x:v>
      </x:c>
      <x:c r="AB64" s="10" t="n">
        <x:f>IFERROR(R64/Q64,0)</x:f>
        <x:v>0</x:v>
      </x:c>
      <x:c r="AC64" s="10" t="n">
        <x:f>IFERROR(U64/R64,0)</x:f>
        <x:v>0</x:v>
      </x:c>
      <x:c r="AD64" s="12" t="n">
        <x:f>IFERROR(R64/U64,0)</x:f>
        <x:v>0</x:v>
      </x:c>
      <x:c r="AE64" s="10" t="n">
        <x:f>IFERROR(U64/Q64,0)</x:f>
        <x:v>0</x:v>
      </x:c>
      <x:c r="AF64" s="10" t="n">
        <x:f>IF(Q64=0,M64,IF(U64=0,IF(Q64&gt;=10,MAX(0.02,M64*0.7),M64),IF(AD64=0,M64,MAX(0.02,IF(AD64&gt;Summary!$B$2,M64*Summary!$B$2/AD64,MIN(M64*1.2,M64*Summary!$B$2/AD64))))))</x:f>
        <x:v>1.29</x:v>
      </x:c>
      <x:c r="AG64" s="11" t="n">
        <x:f>IFERROR(AF64/M64-1,0)</x:f>
        <x:v>0</x:v>
      </x:c>
      <x:c r="AH64" t="str">
        <x:f>IF(Q64=0,"Need clicks",IF(AND(U64=0,Q64&gt;=10),"No sales: lower/pause",IF(AND(AD64&gt;Summary!$B$2,T64&gt;0),"Over target: reduce",IF(AND(AD64&lt;=Summary!$B$2,T64&gt;0),"At/under target: scale/hold",IF(AND(Q64&gt;0,T64=0),"Collect data","Review")))))</x:f>
        <x:v>Need clicks</x:v>
      </x:c>
      <x:c r="AI64" s="10" t="n">
        <x:f>IFERROR(IF(U64=0,R64,MAX(0,R64-(U64*Summary!$B$2))),0)</x:f>
        <x:v>0</x:v>
      </x:c>
      <x:c r="AJ64" t="str">
        <x:f>IF(AH64="No sales: lower/pause","Waste",IF(AH64="Over target: reduce","Inefficient",IF(AH64="At/under target: scale/hold","Efficient",IF(AND(O64&gt;=1000,Q64=0),"High imp/no click","Data gathering"))))</x:f>
        <x:v>Data gathering</x:v>
      </x:c>
    </x:row>
    <x:row r="65">
      <x:c r="A65" t="s">
        <x:v>22</x:v>
      </x:c>
      <x:c r="B65" t="s">
        <x:v>118</x:v>
      </x:c>
      <x:c r="C65" t="s">
        <x:v>22</x:v>
      </x:c>
      <x:c r="D65" t="s">
        <x:v>24</x:v>
      </x:c>
      <x:c r="E65" t="s">
        <x:v>63</x:v>
      </x:c>
      <x:c r="F65" t="s">
        <x:v>26</x:v>
      </x:c>
      <x:c r="G65" t="s">
        <x:v>27</x:v>
      </x:c>
      <x:c r="H65" t="s">
        <x:v>116</x:v>
      </x:c>
      <x:c r="I65">
        <x:v>1</x:v>
      </x:c>
      <x:c r="L65">
        <x:v>0</x:v>
      </x:c>
      <x:c r="M65">
        <x:v>0.94</x:v>
      </x:c>
      <x:c r="N65">
        <x:v>7.14</x:v>
      </x:c>
      <x:c r="O65">
        <x:v>1</x:v>
      </x:c>
      <x:c r="Q65">
        <x:v>0</x:v>
      </x:c>
      <x:c r="R65" s="10">
        <x:v>0</x:v>
      </x:c>
      <x:c r="S65">
        <x:v>0</x:v>
      </x:c>
      <x:c r="T65">
        <x:v>0</x:v>
      </x:c>
      <x:c r="U65" s="10">
        <x:v>0</x:v>
      </x:c>
      <x:c r="W65" s="11" t="n">
        <x:f>Summary!$B$2</x:f>
        <x:v>0.15</x:v>
      </x:c>
      <x:c r="X65" s="11" t="n">
        <x:f>IFERROR(AD65-Summary!$B$2,"")</x:f>
        <x:v>-0.15</x:v>
      </x:c>
      <x:c r="Y65" s="10" t="str">
        <x:f>IFERROR((U65/Q65)*Summary!$B$2,"")</x:f>
      </x:c>
      <x:c r="Z65" s="12" t="n">
        <x:f>IFERROR(Q65/O65,0)</x:f>
        <x:v>0</x:v>
      </x:c>
      <x:c r="AA65" s="12" t="n">
        <x:f>IFERROR(T65/Q65,0)</x:f>
        <x:v>0</x:v>
      </x:c>
      <x:c r="AB65" s="10" t="n">
        <x:f>IFERROR(R65/Q65,0)</x:f>
        <x:v>0</x:v>
      </x:c>
      <x:c r="AC65" s="10" t="n">
        <x:f>IFERROR(U65/R65,0)</x:f>
        <x:v>0</x:v>
      </x:c>
      <x:c r="AD65" s="12" t="n">
        <x:f>IFERROR(R65/U65,0)</x:f>
        <x:v>0</x:v>
      </x:c>
      <x:c r="AE65" s="10" t="n">
        <x:f>IFERROR(U65/Q65,0)</x:f>
        <x:v>0</x:v>
      </x:c>
      <x:c r="AF65" s="10" t="n">
        <x:f>IF(Q65=0,M65,IF(U65=0,IF(Q65&gt;=10,MAX(0.02,M65*0.7),M65),IF(AD65=0,M65,MAX(0.02,IF(AD65&gt;Summary!$B$2,M65*Summary!$B$2/AD65,MIN(M65*1.2,M65*Summary!$B$2/AD65))))))</x:f>
        <x:v>0.94</x:v>
      </x:c>
      <x:c r="AG65" s="11" t="n">
        <x:f>IFERROR(AF65/M65-1,0)</x:f>
        <x:v>0</x:v>
      </x:c>
      <x:c r="AH65" t="str">
        <x:f>IF(Q65=0,"Need clicks",IF(AND(U65=0,Q65&gt;=10),"No sales: lower/pause",IF(AND(AD65&gt;Summary!$B$2,T65&gt;0),"Over target: reduce",IF(AND(AD65&lt;=Summary!$B$2,T65&gt;0),"At/under target: scale/hold",IF(AND(Q65&gt;0,T65=0),"Collect data","Review")))))</x:f>
        <x:v>Need clicks</x:v>
      </x:c>
      <x:c r="AI65" s="10" t="n">
        <x:f>IFERROR(IF(U65=0,R65,MAX(0,R65-(U65*Summary!$B$2))),0)</x:f>
        <x:v>0</x:v>
      </x:c>
      <x:c r="AJ65" t="str">
        <x:f>IF(AH65="No sales: lower/pause","Waste",IF(AH65="Over target: reduce","Inefficient",IF(AH65="At/under target: scale/hold","Efficient",IF(AND(O65&gt;=1000,Q65=0),"High imp/no click","Data gathering"))))</x:f>
        <x:v>Data gathering</x:v>
      </x:c>
    </x:row>
    <x:row r="66">
      <x:c r="A66" t="s">
        <x:v>22</x:v>
      </x:c>
      <x:c r="B66" t="s">
        <x:v>119</x:v>
      </x:c>
      <x:c r="C66" t="s">
        <x:v>22</x:v>
      </x:c>
      <x:c r="D66" t="s">
        <x:v>24</x:v>
      </x:c>
      <x:c r="E66" t="s">
        <x:v>63</x:v>
      </x:c>
      <x:c r="F66" t="s">
        <x:v>26</x:v>
      </x:c>
      <x:c r="G66" t="s">
        <x:v>27</x:v>
      </x:c>
      <x:c r="H66" t="s">
        <x:v>116</x:v>
      </x:c>
      <x:c r="I66">
        <x:v>1</x:v>
      </x:c>
      <x:c r="L66">
        <x:v>0</x:v>
      </x:c>
      <x:c r="M66">
        <x:v>0.95</x:v>
      </x:c>
      <x:c r="N66">
        <x:v>2.38</x:v>
      </x:c>
      <x:c r="O66">
        <x:v>7</x:v>
      </x:c>
      <x:c r="P66">
        <x:v>0</x:v>
      </x:c>
      <x:c r="Q66">
        <x:v>0</x:v>
      </x:c>
      <x:c r="R66" s="10">
        <x:v>0</x:v>
      </x:c>
      <x:c r="S66">
        <x:v>0</x:v>
      </x:c>
      <x:c r="T66">
        <x:v>0</x:v>
      </x:c>
      <x:c r="U66" s="10">
        <x:v>0</x:v>
      </x:c>
      <x:c r="W66" s="11" t="n">
        <x:f>Summary!$B$2</x:f>
        <x:v>0.15</x:v>
      </x:c>
      <x:c r="X66" s="11" t="n">
        <x:f>IFERROR(AD66-Summary!$B$2,"")</x:f>
        <x:v>-0.15</x:v>
      </x:c>
      <x:c r="Y66" s="10" t="str">
        <x:f>IFERROR((U66/Q66)*Summary!$B$2,"")</x:f>
      </x:c>
      <x:c r="Z66" s="12" t="n">
        <x:f>IFERROR(Q66/O66,0)</x:f>
        <x:v>0</x:v>
      </x:c>
      <x:c r="AA66" s="12" t="n">
        <x:f>IFERROR(T66/Q66,0)</x:f>
        <x:v>0</x:v>
      </x:c>
      <x:c r="AB66" s="10" t="n">
        <x:f>IFERROR(R66/Q66,0)</x:f>
        <x:v>0</x:v>
      </x:c>
      <x:c r="AC66" s="10" t="n">
        <x:f>IFERROR(U66/R66,0)</x:f>
        <x:v>0</x:v>
      </x:c>
      <x:c r="AD66" s="12" t="n">
        <x:f>IFERROR(R66/U66,0)</x:f>
        <x:v>0</x:v>
      </x:c>
      <x:c r="AE66" s="10" t="n">
        <x:f>IFERROR(U66/Q66,0)</x:f>
        <x:v>0</x:v>
      </x:c>
      <x:c r="AF66" s="10" t="n">
        <x:f>IF(Q66=0,M66,IF(U66=0,IF(Q66&gt;=10,MAX(0.02,M66*0.7),M66),IF(AD66=0,M66,MAX(0.02,IF(AD66&gt;Summary!$B$2,M66*Summary!$B$2/AD66,MIN(M66*1.2,M66*Summary!$B$2/AD66))))))</x:f>
        <x:v>0.95</x:v>
      </x:c>
      <x:c r="AG66" s="11" t="n">
        <x:f>IFERROR(AF66/M66-1,0)</x:f>
        <x:v>0</x:v>
      </x:c>
      <x:c r="AH66" t="str">
        <x:f>IF(Q66=0,"Need clicks",IF(AND(U66=0,Q66&gt;=10),"No sales: lower/pause",IF(AND(AD66&gt;Summary!$B$2,T66&gt;0),"Over target: reduce",IF(AND(AD66&lt;=Summary!$B$2,T66&gt;0),"At/under target: scale/hold",IF(AND(Q66&gt;0,T66=0),"Collect data","Review")))))</x:f>
        <x:v>Need clicks</x:v>
      </x:c>
      <x:c r="AI66" s="10" t="n">
        <x:f>IFERROR(IF(U66=0,R66,MAX(0,R66-(U66*Summary!$B$2))),0)</x:f>
        <x:v>0</x:v>
      </x:c>
      <x:c r="AJ66" t="str">
        <x:f>IF(AH66="No sales: lower/pause","Waste",IF(AH66="Over target: reduce","Inefficient",IF(AH66="At/under target: scale/hold","Efficient",IF(AND(O66&gt;=1000,Q66=0),"High imp/no click","Data gathering"))))</x:f>
        <x:v>Data gathering</x:v>
      </x:c>
    </x:row>
    <x:row r="67">
      <x:c r="A67" t="s">
        <x:v>22</x:v>
      </x:c>
      <x:c r="B67" t="s">
        <x:v>120</x:v>
      </x:c>
      <x:c r="C67" t="s">
        <x:v>22</x:v>
      </x:c>
      <x:c r="D67" t="s">
        <x:v>24</x:v>
      </x:c>
      <x:c r="E67" t="s">
        <x:v>63</x:v>
      </x:c>
      <x:c r="F67" t="s">
        <x:v>26</x:v>
      </x:c>
      <x:c r="G67" t="s">
        <x:v>27</x:v>
      </x:c>
      <x:c r="H67" t="s">
        <x:v>116</x:v>
      </x:c>
      <x:c r="I67">
        <x:v>1</x:v>
      </x:c>
      <x:c r="L67">
        <x:v>0</x:v>
      </x:c>
      <x:c r="M67">
        <x:v>2</x:v>
      </x:c>
      <x:c r="N67">
        <x:v>2.5</x:v>
      </x:c>
      <x:c r="O67">
        <x:v>346</x:v>
      </x:c>
      <x:c r="P67">
        <x:v>3.20476135973446E-2</x:v>
      </x:c>
      <x:c r="Q67">
        <x:v>0</x:v>
      </x:c>
      <x:c r="R67" s="10">
        <x:v>0</x:v>
      </x:c>
      <x:c r="S67">
        <x:v>0</x:v>
      </x:c>
      <x:c r="T67">
        <x:v>0</x:v>
      </x:c>
      <x:c r="U67" s="10">
        <x:v>0</x:v>
      </x:c>
      <x:c r="W67" s="11" t="n">
        <x:f>Summary!$B$2</x:f>
        <x:v>0.15</x:v>
      </x:c>
      <x:c r="X67" s="11" t="n">
        <x:f>IFERROR(AD67-Summary!$B$2,"")</x:f>
        <x:v>-0.15</x:v>
      </x:c>
      <x:c r="Y67" s="10" t="str">
        <x:f>IFERROR((U67/Q67)*Summary!$B$2,"")</x:f>
      </x:c>
      <x:c r="Z67" s="12" t="n">
        <x:f>IFERROR(Q67/O67,0)</x:f>
        <x:v>0</x:v>
      </x:c>
      <x:c r="AA67" s="12" t="n">
        <x:f>IFERROR(T67/Q67,0)</x:f>
        <x:v>0</x:v>
      </x:c>
      <x:c r="AB67" s="10" t="n">
        <x:f>IFERROR(R67/Q67,0)</x:f>
        <x:v>0</x:v>
      </x:c>
      <x:c r="AC67" s="10" t="n">
        <x:f>IFERROR(U67/R67,0)</x:f>
        <x:v>0</x:v>
      </x:c>
      <x:c r="AD67" s="12" t="n">
        <x:f>IFERROR(R67/U67,0)</x:f>
        <x:v>0</x:v>
      </x:c>
      <x:c r="AE67" s="10" t="n">
        <x:f>IFERROR(U67/Q67,0)</x:f>
        <x:v>0</x:v>
      </x:c>
      <x:c r="AF67" s="10" t="n">
        <x:f>IF(Q67=0,M67,IF(U67=0,IF(Q67&gt;=10,MAX(0.02,M67*0.7),M67),IF(AD67=0,M67,MAX(0.02,IF(AD67&gt;Summary!$B$2,M67*Summary!$B$2/AD67,MIN(M67*1.2,M67*Summary!$B$2/AD67))))))</x:f>
        <x:v>2</x:v>
      </x:c>
      <x:c r="AG67" s="11" t="n">
        <x:f>IFERROR(AF67/M67-1,0)</x:f>
        <x:v>0</x:v>
      </x:c>
      <x:c r="AH67" t="str">
        <x:f>IF(Q67=0,"Need clicks",IF(AND(U67=0,Q67&gt;=10),"No sales: lower/pause",IF(AND(AD67&gt;Summary!$B$2,T67&gt;0),"Over target: reduce",IF(AND(AD67&lt;=Summary!$B$2,T67&gt;0),"At/under target: scale/hold",IF(AND(Q67&gt;0,T67=0),"Collect data","Review")))))</x:f>
        <x:v>Need clicks</x:v>
      </x:c>
      <x:c r="AI67" s="10" t="n">
        <x:f>IFERROR(IF(U67=0,R67,MAX(0,R67-(U67*Summary!$B$2))),0)</x:f>
        <x:v>0</x:v>
      </x:c>
      <x:c r="AJ67" t="str">
        <x:f>IF(AH67="No sales: lower/pause","Waste",IF(AH67="Over target: reduce","Inefficient",IF(AH67="At/under target: scale/hold","Efficient",IF(AND(O67&gt;=1000,Q67=0),"High imp/no click","Data gathering"))))</x:f>
        <x:v>Data gathering</x:v>
      </x:c>
    </x:row>
    <x:row r="68">
      <x:c r="A68" t="s">
        <x:v>22</x:v>
      </x:c>
      <x:c r="B68" t="s">
        <x:v>121</x:v>
      </x:c>
      <x:c r="C68" t="s">
        <x:v>22</x:v>
      </x:c>
      <x:c r="D68" t="s">
        <x:v>24</x:v>
      </x:c>
      <x:c r="E68" t="s">
        <x:v>63</x:v>
      </x:c>
      <x:c r="F68" t="s">
        <x:v>26</x:v>
      </x:c>
      <x:c r="G68" t="s">
        <x:v>27</x:v>
      </x:c>
      <x:c r="H68" t="s">
        <x:v>116</x:v>
      </x:c>
      <x:c r="I68">
        <x:v>1</x:v>
      </x:c>
      <x:c r="L68">
        <x:v>0</x:v>
      </x:c>
      <x:c r="M68">
        <x:v>0.94</x:v>
      </x:c>
      <x:c r="N68">
        <x:v>7.14</x:v>
      </x:c>
      <x:c r="O68">
        <x:v>22</x:v>
      </x:c>
      <x:c r="P68">
        <x:v>0</x:v>
      </x:c>
      <x:c r="Q68">
        <x:v>0</x:v>
      </x:c>
      <x:c r="R68" s="10">
        <x:v>0</x:v>
      </x:c>
      <x:c r="S68">
        <x:v>0</x:v>
      </x:c>
      <x:c r="T68">
        <x:v>0</x:v>
      </x:c>
      <x:c r="U68" s="10">
        <x:v>0</x:v>
      </x:c>
      <x:c r="W68" s="11" t="n">
        <x:f>Summary!$B$2</x:f>
        <x:v>0.15</x:v>
      </x:c>
      <x:c r="X68" s="11" t="n">
        <x:f>IFERROR(AD68-Summary!$B$2,"")</x:f>
        <x:v>-0.15</x:v>
      </x:c>
      <x:c r="Y68" s="10" t="str">
        <x:f>IFERROR((U68/Q68)*Summary!$B$2,"")</x:f>
      </x:c>
      <x:c r="Z68" s="12" t="n">
        <x:f>IFERROR(Q68/O68,0)</x:f>
        <x:v>0</x:v>
      </x:c>
      <x:c r="AA68" s="12" t="n">
        <x:f>IFERROR(T68/Q68,0)</x:f>
        <x:v>0</x:v>
      </x:c>
      <x:c r="AB68" s="10" t="n">
        <x:f>IFERROR(R68/Q68,0)</x:f>
        <x:v>0</x:v>
      </x:c>
      <x:c r="AC68" s="10" t="n">
        <x:f>IFERROR(U68/R68,0)</x:f>
        <x:v>0</x:v>
      </x:c>
      <x:c r="AD68" s="12" t="n">
        <x:f>IFERROR(R68/U68,0)</x:f>
        <x:v>0</x:v>
      </x:c>
      <x:c r="AE68" s="10" t="n">
        <x:f>IFERROR(U68/Q68,0)</x:f>
        <x:v>0</x:v>
      </x:c>
      <x:c r="AF68" s="10" t="n">
        <x:f>IF(Q68=0,M68,IF(U68=0,IF(Q68&gt;=10,MAX(0.02,M68*0.7),M68),IF(AD68=0,M68,MAX(0.02,IF(AD68&gt;Summary!$B$2,M68*Summary!$B$2/AD68,MIN(M68*1.2,M68*Summary!$B$2/AD68))))))</x:f>
        <x:v>0.94</x:v>
      </x:c>
      <x:c r="AG68" s="11" t="n">
        <x:f>IFERROR(AF68/M68-1,0)</x:f>
        <x:v>0</x:v>
      </x:c>
      <x:c r="AH68" t="str">
        <x:f>IF(Q68=0,"Need clicks",IF(AND(U68=0,Q68&gt;=10),"No sales: lower/pause",IF(AND(AD68&gt;Summary!$B$2,T68&gt;0),"Over target: reduce",IF(AND(AD68&lt;=Summary!$B$2,T68&gt;0),"At/under target: scale/hold",IF(AND(Q68&gt;0,T68=0),"Collect data","Review")))))</x:f>
        <x:v>Need clicks</x:v>
      </x:c>
      <x:c r="AI68" s="10" t="n">
        <x:f>IFERROR(IF(U68=0,R68,MAX(0,R68-(U68*Summary!$B$2))),0)</x:f>
        <x:v>0</x:v>
      </x:c>
      <x:c r="AJ68" t="str">
        <x:f>IF(AH68="No sales: lower/pause","Waste",IF(AH68="Over target: reduce","Inefficient",IF(AH68="At/under target: scale/hold","Efficient",IF(AND(O68&gt;=1000,Q68=0),"High imp/no click","Data gathering"))))</x:f>
        <x:v>Data gathering</x:v>
      </x:c>
    </x:row>
    <x:row r="69">
      <x:c r="A69" t="s">
        <x:v>22</x:v>
      </x:c>
      <x:c r="B69" t="s">
        <x:v>104</x:v>
      </x:c>
      <x:c r="C69" t="s">
        <x:v>22</x:v>
      </x:c>
      <x:c r="D69" t="s">
        <x:v>24</x:v>
      </x:c>
      <x:c r="E69" t="s">
        <x:v>63</x:v>
      </x:c>
      <x:c r="F69" t="s">
        <x:v>26</x:v>
      </x:c>
      <x:c r="G69" t="s">
        <x:v>27</x:v>
      </x:c>
      <x:c r="H69" t="s">
        <x:v>116</x:v>
      </x:c>
      <x:c r="I69">
        <x:v>1</x:v>
      </x:c>
      <x:c r="L69">
        <x:v>0</x:v>
      </x:c>
      <x:c r="M69">
        <x:v>0.94</x:v>
      </x:c>
      <x:c r="N69">
        <x:v>2.31</x:v>
      </x:c>
      <x:c r="O69">
        <x:v>26</x:v>
      </x:c>
      <x:c r="P69" s="1" t="s">
        <x:v>122</x:v>
      </x:c>
      <x:c r="Q69">
        <x:v>0</x:v>
      </x:c>
      <x:c r="R69" s="10">
        <x:v>0</x:v>
      </x:c>
      <x:c r="S69">
        <x:v>0</x:v>
      </x:c>
      <x:c r="T69">
        <x:v>0</x:v>
      </x:c>
      <x:c r="U69" s="10">
        <x:v>0</x:v>
      </x:c>
      <x:c r="W69" s="11" t="n">
        <x:f>Summary!$B$2</x:f>
        <x:v>0.15</x:v>
      </x:c>
      <x:c r="X69" s="11" t="n">
        <x:f>IFERROR(AD69-Summary!$B$2,"")</x:f>
        <x:v>-0.15</x:v>
      </x:c>
      <x:c r="Y69" s="10" t="str">
        <x:f>IFERROR((U69/Q69)*Summary!$B$2,"")</x:f>
      </x:c>
      <x:c r="Z69" s="12" t="n">
        <x:f>IFERROR(Q69/O69,0)</x:f>
        <x:v>0</x:v>
      </x:c>
      <x:c r="AA69" s="12" t="n">
        <x:f>IFERROR(T69/Q69,0)</x:f>
        <x:v>0</x:v>
      </x:c>
      <x:c r="AB69" s="10" t="n">
        <x:f>IFERROR(R69/Q69,0)</x:f>
        <x:v>0</x:v>
      </x:c>
      <x:c r="AC69" s="10" t="n">
        <x:f>IFERROR(U69/R69,0)</x:f>
        <x:v>0</x:v>
      </x:c>
      <x:c r="AD69" s="12" t="n">
        <x:f>IFERROR(R69/U69,0)</x:f>
        <x:v>0</x:v>
      </x:c>
      <x:c r="AE69" s="10" t="n">
        <x:f>IFERROR(U69/Q69,0)</x:f>
        <x:v>0</x:v>
      </x:c>
      <x:c r="AF69" s="10" t="n">
        <x:f>IF(Q69=0,M69,IF(U69=0,IF(Q69&gt;=10,MAX(0.02,M69*0.7),M69),IF(AD69=0,M69,MAX(0.02,IF(AD69&gt;Summary!$B$2,M69*Summary!$B$2/AD69,MIN(M69*1.2,M69*Summary!$B$2/AD69))))))</x:f>
        <x:v>0.94</x:v>
      </x:c>
      <x:c r="AG69" s="11" t="n">
        <x:f>IFERROR(AF69/M69-1,0)</x:f>
        <x:v>0</x:v>
      </x:c>
      <x:c r="AH69" t="str">
        <x:f>IF(Q69=0,"Need clicks",IF(AND(U69=0,Q69&gt;=10),"No sales: lower/pause",IF(AND(AD69&gt;Summary!$B$2,T69&gt;0),"Over target: reduce",IF(AND(AD69&lt;=Summary!$B$2,T69&gt;0),"At/under target: scale/hold",IF(AND(Q69&gt;0,T69=0),"Collect data","Review")))))</x:f>
        <x:v>Need clicks</x:v>
      </x:c>
      <x:c r="AI69" s="10" t="n">
        <x:f>IFERROR(IF(U69=0,R69,MAX(0,R69-(U69*Summary!$B$2))),0)</x:f>
        <x:v>0</x:v>
      </x:c>
      <x:c r="AJ69" t="str">
        <x:f>IF(AH69="No sales: lower/pause","Waste",IF(AH69="Over target: reduce","Inefficient",IF(AH69="At/under target: scale/hold","Efficient",IF(AND(O69&gt;=1000,Q69=0),"High imp/no click","Data gathering"))))</x:f>
        <x:v>Data gathering</x:v>
      </x:c>
    </x:row>
    <x:row r="70">
      <x:c r="A70" t="s">
        <x:v>22</x:v>
      </x:c>
      <x:c r="B70" t="s">
        <x:v>123</x:v>
      </x:c>
      <x:c r="C70" t="s">
        <x:v>22</x:v>
      </x:c>
      <x:c r="D70" t="s">
        <x:v>24</x:v>
      </x:c>
      <x:c r="E70" t="s">
        <x:v>63</x:v>
      </x:c>
      <x:c r="F70" t="s">
        <x:v>26</x:v>
      </x:c>
      <x:c r="G70" t="s">
        <x:v>27</x:v>
      </x:c>
      <x:c r="H70" t="s">
        <x:v>124</x:v>
      </x:c>
      <x:c r="I70">
        <x:v>1</x:v>
      </x:c>
      <x:c r="L70">
        <x:v>0</x:v>
      </x:c>
      <x:c r="M70">
        <x:v>2.97</x:v>
      </x:c>
      <x:c r="N70">
        <x:v>1.17</x:v>
      </x:c>
      <x:c r="O70">
        <x:v>9</x:v>
      </x:c>
      <x:c r="P70" s="1" t="s">
        <x:v>125</x:v>
      </x:c>
      <x:c r="Q70">
        <x:v>0</x:v>
      </x:c>
      <x:c r="R70" s="10">
        <x:v>0</x:v>
      </x:c>
      <x:c r="S70">
        <x:v>0</x:v>
      </x:c>
      <x:c r="T70">
        <x:v>0</x:v>
      </x:c>
      <x:c r="U70" s="10">
        <x:v>0</x:v>
      </x:c>
      <x:c r="W70" s="11" t="n">
        <x:f>Summary!$B$2</x:f>
        <x:v>0.15</x:v>
      </x:c>
      <x:c r="X70" s="11" t="n">
        <x:f>IFERROR(AD70-Summary!$B$2,"")</x:f>
        <x:v>-0.15</x:v>
      </x:c>
      <x:c r="Y70" s="10" t="str">
        <x:f>IFERROR((U70/Q70)*Summary!$B$2,"")</x:f>
      </x:c>
      <x:c r="Z70" s="12" t="n">
        <x:f>IFERROR(Q70/O70,0)</x:f>
        <x:v>0</x:v>
      </x:c>
      <x:c r="AA70" s="12" t="n">
        <x:f>IFERROR(T70/Q70,0)</x:f>
        <x:v>0</x:v>
      </x:c>
      <x:c r="AB70" s="10" t="n">
        <x:f>IFERROR(R70/Q70,0)</x:f>
        <x:v>0</x:v>
      </x:c>
      <x:c r="AC70" s="10" t="n">
        <x:f>IFERROR(U70/R70,0)</x:f>
        <x:v>0</x:v>
      </x:c>
      <x:c r="AD70" s="12" t="n">
        <x:f>IFERROR(R70/U70,0)</x:f>
        <x:v>0</x:v>
      </x:c>
      <x:c r="AE70" s="10" t="n">
        <x:f>IFERROR(U70/Q70,0)</x:f>
        <x:v>0</x:v>
      </x:c>
      <x:c r="AF70" s="10" t="n">
        <x:f>IF(Q70=0,M70,IF(U70=0,IF(Q70&gt;=10,MAX(0.02,M70*0.7),M70),IF(AD70=0,M70,MAX(0.02,IF(AD70&gt;Summary!$B$2,M70*Summary!$B$2/AD70,MIN(M70*1.2,M70*Summary!$B$2/AD70))))))</x:f>
        <x:v>2.97</x:v>
      </x:c>
      <x:c r="AG70" s="11" t="n">
        <x:f>IFERROR(AF70/M70-1,0)</x:f>
        <x:v>0</x:v>
      </x:c>
      <x:c r="AH70" t="str">
        <x:f>IF(Q70=0,"Need clicks",IF(AND(U70=0,Q70&gt;=10),"No sales: lower/pause",IF(AND(AD70&gt;Summary!$B$2,T70&gt;0),"Over target: reduce",IF(AND(AD70&lt;=Summary!$B$2,T70&gt;0),"At/under target: scale/hold",IF(AND(Q70&gt;0,T70=0),"Collect data","Review")))))</x:f>
        <x:v>Need clicks</x:v>
      </x:c>
      <x:c r="AI70" s="10" t="n">
        <x:f>IFERROR(IF(U70=0,R70,MAX(0,R70-(U70*Summary!$B$2))),0)</x:f>
        <x:v>0</x:v>
      </x:c>
      <x:c r="AJ70" t="str">
        <x:f>IF(AH70="No sales: lower/pause","Waste",IF(AH70="Over target: reduce","Inefficient",IF(AH70="At/under target: scale/hold","Efficient",IF(AND(O70&gt;=1000,Q70=0),"High imp/no click","Data gathering"))))</x:f>
        <x:v>Data gathering</x:v>
      </x:c>
    </x:row>
    <x:row r="71">
      <x:c r="A71" t="s">
        <x:v>22</x:v>
      </x:c>
      <x:c r="B71" t="s">
        <x:v>126</x:v>
      </x:c>
      <x:c r="C71" t="s">
        <x:v>22</x:v>
      </x:c>
      <x:c r="D71" t="s">
        <x:v>24</x:v>
      </x:c>
      <x:c r="E71" t="s">
        <x:v>63</x:v>
      </x:c>
      <x:c r="F71" t="s">
        <x:v>26</x:v>
      </x:c>
      <x:c r="G71" t="s">
        <x:v>27</x:v>
      </x:c>
      <x:c r="H71" t="s">
        <x:v>124</x:v>
      </x:c>
      <x:c r="I71">
        <x:v>1</x:v>
      </x:c>
      <x:c r="L71">
        <x:v>0</x:v>
      </x:c>
      <x:c r="M71">
        <x:v>7</x:v>
      </x:c>
      <x:c r="N71">
        <x:v>7.06</x:v>
      </x:c>
      <x:c r="O71">
        <x:v>1</x:v>
      </x:c>
      <x:c r="P71" s="1" t="s">
        <x:v>127</x:v>
      </x:c>
      <x:c r="Q71">
        <x:v>0</x:v>
      </x:c>
      <x:c r="R71" s="10">
        <x:v>0</x:v>
      </x:c>
      <x:c r="S71">
        <x:v>0</x:v>
      </x:c>
      <x:c r="T71">
        <x:v>0</x:v>
      </x:c>
      <x:c r="U71" s="10">
        <x:v>0</x:v>
      </x:c>
      <x:c r="W71" s="11" t="n">
        <x:f>Summary!$B$2</x:f>
        <x:v>0.15</x:v>
      </x:c>
      <x:c r="X71" s="11" t="n">
        <x:f>IFERROR(AD71-Summary!$B$2,"")</x:f>
        <x:v>-0.15</x:v>
      </x:c>
      <x:c r="Y71" s="10" t="str">
        <x:f>IFERROR((U71/Q71)*Summary!$B$2,"")</x:f>
      </x:c>
      <x:c r="Z71" s="12" t="n">
        <x:f>IFERROR(Q71/O71,0)</x:f>
        <x:v>0</x:v>
      </x:c>
      <x:c r="AA71" s="12" t="n">
        <x:f>IFERROR(T71/Q71,0)</x:f>
        <x:v>0</x:v>
      </x:c>
      <x:c r="AB71" s="10" t="n">
        <x:f>IFERROR(R71/Q71,0)</x:f>
        <x:v>0</x:v>
      </x:c>
      <x:c r="AC71" s="10" t="n">
        <x:f>IFERROR(U71/R71,0)</x:f>
        <x:v>0</x:v>
      </x:c>
      <x:c r="AD71" s="12" t="n">
        <x:f>IFERROR(R71/U71,0)</x:f>
        <x:v>0</x:v>
      </x:c>
      <x:c r="AE71" s="10" t="n">
        <x:f>IFERROR(U71/Q71,0)</x:f>
        <x:v>0</x:v>
      </x:c>
      <x:c r="AF71" s="10" t="n">
        <x:f>IF(Q71=0,M71,IF(U71=0,IF(Q71&gt;=10,MAX(0.02,M71*0.7),M71),IF(AD71=0,M71,MAX(0.02,IF(AD71&gt;Summary!$B$2,M71*Summary!$B$2/AD71,MIN(M71*1.2,M71*Summary!$B$2/AD71))))))</x:f>
        <x:v>7</x:v>
      </x:c>
      <x:c r="AG71" s="11" t="n">
        <x:f>IFERROR(AF71/M71-1,0)</x:f>
        <x:v>0</x:v>
      </x:c>
      <x:c r="AH71" t="str">
        <x:f>IF(Q71=0,"Need clicks",IF(AND(U71=0,Q71&gt;=10),"No sales: lower/pause",IF(AND(AD71&gt;Summary!$B$2,T71&gt;0),"Over target: reduce",IF(AND(AD71&lt;=Summary!$B$2,T71&gt;0),"At/under target: scale/hold",IF(AND(Q71&gt;0,T71=0),"Collect data","Review")))))</x:f>
        <x:v>Need clicks</x:v>
      </x:c>
      <x:c r="AI71" s="10" t="n">
        <x:f>IFERROR(IF(U71=0,R71,MAX(0,R71-(U71*Summary!$B$2))),0)</x:f>
        <x:v>0</x:v>
      </x:c>
      <x:c r="AJ71" t="str">
        <x:f>IF(AH71="No sales: lower/pause","Waste",IF(AH71="Over target: reduce","Inefficient",IF(AH71="At/under target: scale/hold","Efficient",IF(AND(O71&gt;=1000,Q71=0),"High imp/no click","Data gathering"))))</x:f>
        <x:v>Data gathering</x:v>
      </x:c>
    </x:row>
    <x:row r="72">
      <x:c r="A72" t="s">
        <x:v>22</x:v>
      </x:c>
      <x:c r="B72" t="s">
        <x:v>128</x:v>
      </x:c>
      <x:c r="C72" t="s">
        <x:v>22</x:v>
      </x:c>
      <x:c r="D72" t="s">
        <x:v>24</x:v>
      </x:c>
      <x:c r="E72" t="s">
        <x:v>63</x:v>
      </x:c>
      <x:c r="F72" t="s">
        <x:v>26</x:v>
      </x:c>
      <x:c r="G72" t="s">
        <x:v>27</x:v>
      </x:c>
      <x:c r="H72" t="s">
        <x:v>124</x:v>
      </x:c>
      <x:c r="I72">
        <x:v>1</x:v>
      </x:c>
      <x:c r="L72">
        <x:v>0</x:v>
      </x:c>
      <x:c r="M72">
        <x:v>2.54</x:v>
      </x:c>
      <x:c r="N72">
        <x:v>7.14</x:v>
      </x:c>
      <x:c r="O72">
        <x:v>18</x:v>
      </x:c>
      <x:c r="P72" s="1" t="s">
        <x:v>129</x:v>
      </x:c>
      <x:c r="Q72">
        <x:v>0</x:v>
      </x:c>
      <x:c r="R72" s="10">
        <x:v>0</x:v>
      </x:c>
      <x:c r="S72">
        <x:v>0</x:v>
      </x:c>
      <x:c r="T72">
        <x:v>0</x:v>
      </x:c>
      <x:c r="U72" s="10">
        <x:v>0</x:v>
      </x:c>
      <x:c r="W72" s="11" t="n">
        <x:f>Summary!$B$2</x:f>
        <x:v>0.15</x:v>
      </x:c>
      <x:c r="X72" s="11" t="n">
        <x:f>IFERROR(AD72-Summary!$B$2,"")</x:f>
        <x:v>-0.15</x:v>
      </x:c>
      <x:c r="Y72" s="10" t="str">
        <x:f>IFERROR((U72/Q72)*Summary!$B$2,"")</x:f>
      </x:c>
      <x:c r="Z72" s="12" t="n">
        <x:f>IFERROR(Q72/O72,0)</x:f>
        <x:v>0</x:v>
      </x:c>
      <x:c r="AA72" s="12" t="n">
        <x:f>IFERROR(T72/Q72,0)</x:f>
        <x:v>0</x:v>
      </x:c>
      <x:c r="AB72" s="10" t="n">
        <x:f>IFERROR(R72/Q72,0)</x:f>
        <x:v>0</x:v>
      </x:c>
      <x:c r="AC72" s="10" t="n">
        <x:f>IFERROR(U72/R72,0)</x:f>
        <x:v>0</x:v>
      </x:c>
      <x:c r="AD72" s="12" t="n">
        <x:f>IFERROR(R72/U72,0)</x:f>
        <x:v>0</x:v>
      </x:c>
      <x:c r="AE72" s="10" t="n">
        <x:f>IFERROR(U72/Q72,0)</x:f>
        <x:v>0</x:v>
      </x:c>
      <x:c r="AF72" s="10" t="n">
        <x:f>IF(Q72=0,M72,IF(U72=0,IF(Q72&gt;=10,MAX(0.02,M72*0.7),M72),IF(AD72=0,M72,MAX(0.02,IF(AD72&gt;Summary!$B$2,M72*Summary!$B$2/AD72,MIN(M72*1.2,M72*Summary!$B$2/AD72))))))</x:f>
        <x:v>2.54</x:v>
      </x:c>
      <x:c r="AG72" s="11" t="n">
        <x:f>IFERROR(AF72/M72-1,0)</x:f>
        <x:v>0</x:v>
      </x:c>
      <x:c r="AH72" t="str">
        <x:f>IF(Q72=0,"Need clicks",IF(AND(U72=0,Q72&gt;=10),"No sales: lower/pause",IF(AND(AD72&gt;Summary!$B$2,T72&gt;0),"Over target: reduce",IF(AND(AD72&lt;=Summary!$B$2,T72&gt;0),"At/under target: scale/hold",IF(AND(Q72&gt;0,T72=0),"Collect data","Review")))))</x:f>
        <x:v>Need clicks</x:v>
      </x:c>
      <x:c r="AI72" s="10" t="n">
        <x:f>IFERROR(IF(U72=0,R72,MAX(0,R72-(U72*Summary!$B$2))),0)</x:f>
        <x:v>0</x:v>
      </x:c>
      <x:c r="AJ72" t="str">
        <x:f>IF(AH72="No sales: lower/pause","Waste",IF(AH72="Over target: reduce","Inefficient",IF(AH72="At/under target: scale/hold","Efficient",IF(AND(O72&gt;=1000,Q72=0),"High imp/no click","Data gathering"))))</x:f>
        <x:v>Data gathering</x:v>
      </x:c>
    </x:row>
    <x:row r="73">
      <x:c r="A73" t="s">
        <x:v>22</x:v>
      </x:c>
      <x:c r="B73" t="s">
        <x:v>130</x:v>
      </x:c>
      <x:c r="C73" t="s">
        <x:v>22</x:v>
      </x:c>
      <x:c r="D73" t="s">
        <x:v>24</x:v>
      </x:c>
      <x:c r="E73" t="s">
        <x:v>63</x:v>
      </x:c>
      <x:c r="F73" t="s">
        <x:v>26</x:v>
      </x:c>
      <x:c r="G73" t="s">
        <x:v>27</x:v>
      </x:c>
      <x:c r="H73" t="s">
        <x:v>124</x:v>
      </x:c>
      <x:c r="I73">
        <x:v>1</x:v>
      </x:c>
      <x:c r="L73">
        <x:v>0</x:v>
      </x:c>
      <x:c r="M73">
        <x:v>2.97</x:v>
      </x:c>
      <x:c r="N73">
        <x:v>7.14</x:v>
      </x:c>
      <x:c r="O73">
        <x:v>16</x:v>
      </x:c>
      <x:c r="P73">
        <x:v>0</x:v>
      </x:c>
      <x:c r="Q73">
        <x:v>0</x:v>
      </x:c>
      <x:c r="R73" s="10">
        <x:v>0</x:v>
      </x:c>
      <x:c r="S73">
        <x:v>0</x:v>
      </x:c>
      <x:c r="T73">
        <x:v>0</x:v>
      </x:c>
      <x:c r="U73" s="10">
        <x:v>0</x:v>
      </x:c>
      <x:c r="W73" s="11" t="n">
        <x:f>Summary!$B$2</x:f>
        <x:v>0.15</x:v>
      </x:c>
      <x:c r="X73" s="11" t="n">
        <x:f>IFERROR(AD73-Summary!$B$2,"")</x:f>
        <x:v>-0.15</x:v>
      </x:c>
      <x:c r="Y73" s="10" t="str">
        <x:f>IFERROR((U73/Q73)*Summary!$B$2,"")</x:f>
      </x:c>
      <x:c r="Z73" s="12" t="n">
        <x:f>IFERROR(Q73/O73,0)</x:f>
        <x:v>0</x:v>
      </x:c>
      <x:c r="AA73" s="12" t="n">
        <x:f>IFERROR(T73/Q73,0)</x:f>
        <x:v>0</x:v>
      </x:c>
      <x:c r="AB73" s="10" t="n">
        <x:f>IFERROR(R73/Q73,0)</x:f>
        <x:v>0</x:v>
      </x:c>
      <x:c r="AC73" s="10" t="n">
        <x:f>IFERROR(U73/R73,0)</x:f>
        <x:v>0</x:v>
      </x:c>
      <x:c r="AD73" s="12" t="n">
        <x:f>IFERROR(R73/U73,0)</x:f>
        <x:v>0</x:v>
      </x:c>
      <x:c r="AE73" s="10" t="n">
        <x:f>IFERROR(U73/Q73,0)</x:f>
        <x:v>0</x:v>
      </x:c>
      <x:c r="AF73" s="10" t="n">
        <x:f>IF(Q73=0,M73,IF(U73=0,IF(Q73&gt;=10,MAX(0.02,M73*0.7),M73),IF(AD73=0,M73,MAX(0.02,IF(AD73&gt;Summary!$B$2,M73*Summary!$B$2/AD73,MIN(M73*1.2,M73*Summary!$B$2/AD73))))))</x:f>
        <x:v>2.97</x:v>
      </x:c>
      <x:c r="AG73" s="11" t="n">
        <x:f>IFERROR(AF73/M73-1,0)</x:f>
        <x:v>0</x:v>
      </x:c>
      <x:c r="AH73" t="str">
        <x:f>IF(Q73=0,"Need clicks",IF(AND(U73=0,Q73&gt;=10),"No sales: lower/pause",IF(AND(AD73&gt;Summary!$B$2,T73&gt;0),"Over target: reduce",IF(AND(AD73&lt;=Summary!$B$2,T73&gt;0),"At/under target: scale/hold",IF(AND(Q73&gt;0,T73=0),"Collect data","Review")))))</x:f>
        <x:v>Need clicks</x:v>
      </x:c>
      <x:c r="AI73" s="10" t="n">
        <x:f>IFERROR(IF(U73=0,R73,MAX(0,R73-(U73*Summary!$B$2))),0)</x:f>
        <x:v>0</x:v>
      </x:c>
      <x:c r="AJ73" t="str">
        <x:f>IF(AH73="No sales: lower/pause","Waste",IF(AH73="Over target: reduce","Inefficient",IF(AH73="At/under target: scale/hold","Efficient",IF(AND(O73&gt;=1000,Q73=0),"High imp/no click","Data gathering"))))</x:f>
        <x:v>Data gathering</x:v>
      </x:c>
    </x:row>
    <x:row r="74">
      <x:c r="A74" t="s">
        <x:v>22</x:v>
      </x:c>
      <x:c r="B74" t="s">
        <x:v>131</x:v>
      </x:c>
      <x:c r="C74" t="s">
        <x:v>22</x:v>
      </x:c>
      <x:c r="D74" t="s">
        <x:v>24</x:v>
      </x:c>
      <x:c r="E74" t="s">
        <x:v>63</x:v>
      </x:c>
      <x:c r="F74" t="s">
        <x:v>26</x:v>
      </x:c>
      <x:c r="G74" t="s">
        <x:v>27</x:v>
      </x:c>
      <x:c r="H74" t="s">
        <x:v>124</x:v>
      </x:c>
      <x:c r="I74">
        <x:v>1</x:v>
      </x:c>
      <x:c r="L74">
        <x:v>0</x:v>
      </x:c>
      <x:c r="M74">
        <x:v>2.2999999999999998</x:v>
      </x:c>
      <x:c r="N74">
        <x:v>5.42</x:v>
      </x:c>
      <x:c r="O74">
        <x:v>2</x:v>
      </x:c>
      <x:c r="P74" s="1" t="s">
        <x:v>132</x:v>
      </x:c>
      <x:c r="Q74">
        <x:v>0</x:v>
      </x:c>
      <x:c r="R74" s="10">
        <x:v>0</x:v>
      </x:c>
      <x:c r="S74">
        <x:v>0</x:v>
      </x:c>
      <x:c r="T74">
        <x:v>0</x:v>
      </x:c>
      <x:c r="U74" s="10">
        <x:v>0</x:v>
      </x:c>
      <x:c r="W74" s="11" t="n">
        <x:f>Summary!$B$2</x:f>
        <x:v>0.15</x:v>
      </x:c>
      <x:c r="X74" s="11" t="n">
        <x:f>IFERROR(AD74-Summary!$B$2,"")</x:f>
        <x:v>-0.15</x:v>
      </x:c>
      <x:c r="Y74" s="10" t="str">
        <x:f>IFERROR((U74/Q74)*Summary!$B$2,"")</x:f>
      </x:c>
      <x:c r="Z74" s="12" t="n">
        <x:f>IFERROR(Q74/O74,0)</x:f>
        <x:v>0</x:v>
      </x:c>
      <x:c r="AA74" s="12" t="n">
        <x:f>IFERROR(T74/Q74,0)</x:f>
        <x:v>0</x:v>
      </x:c>
      <x:c r="AB74" s="10" t="n">
        <x:f>IFERROR(R74/Q74,0)</x:f>
        <x:v>0</x:v>
      </x:c>
      <x:c r="AC74" s="10" t="n">
        <x:f>IFERROR(U74/R74,0)</x:f>
        <x:v>0</x:v>
      </x:c>
      <x:c r="AD74" s="12" t="n">
        <x:f>IFERROR(R74/U74,0)</x:f>
        <x:v>0</x:v>
      </x:c>
      <x:c r="AE74" s="10" t="n">
        <x:f>IFERROR(U74/Q74,0)</x:f>
        <x:v>0</x:v>
      </x:c>
      <x:c r="AF74" s="10" t="n">
        <x:f>IF(Q74=0,M74,IF(U74=0,IF(Q74&gt;=10,MAX(0.02,M74*0.7),M74),IF(AD74=0,M74,MAX(0.02,IF(AD74&gt;Summary!$B$2,M74*Summary!$B$2/AD74,MIN(M74*1.2,M74*Summary!$B$2/AD74))))))</x:f>
        <x:v>2.3</x:v>
      </x:c>
      <x:c r="AG74" s="11" t="n">
        <x:f>IFERROR(AF74/M74-1,0)</x:f>
        <x:v>0</x:v>
      </x:c>
      <x:c r="AH74" t="str">
        <x:f>IF(Q74=0,"Need clicks",IF(AND(U74=0,Q74&gt;=10),"No sales: lower/pause",IF(AND(AD74&gt;Summary!$B$2,T74&gt;0),"Over target: reduce",IF(AND(AD74&lt;=Summary!$B$2,T74&gt;0),"At/under target: scale/hold",IF(AND(Q74&gt;0,T74=0),"Collect data","Review")))))</x:f>
        <x:v>Need clicks</x:v>
      </x:c>
      <x:c r="AI74" s="10" t="n">
        <x:f>IFERROR(IF(U74=0,R74,MAX(0,R74-(U74*Summary!$B$2))),0)</x:f>
        <x:v>0</x:v>
      </x:c>
      <x:c r="AJ74" t="str">
        <x:f>IF(AH74="No sales: lower/pause","Waste",IF(AH74="Over target: reduce","Inefficient",IF(AH74="At/under target: scale/hold","Efficient",IF(AND(O74&gt;=1000,Q74=0),"High imp/no click","Data gathering"))))</x:f>
        <x:v>Data gathering</x:v>
      </x:c>
    </x:row>
    <x:row r="75">
      <x:c r="A75" t="s">
        <x:v>22</x:v>
      </x:c>
      <x:c r="B75" t="s">
        <x:v>133</x:v>
      </x:c>
      <x:c r="C75" t="s">
        <x:v>22</x:v>
      </x:c>
      <x:c r="D75" t="s">
        <x:v>24</x:v>
      </x:c>
      <x:c r="E75" t="s">
        <x:v>63</x:v>
      </x:c>
      <x:c r="F75" t="s">
        <x:v>26</x:v>
      </x:c>
      <x:c r="G75" t="s">
        <x:v>27</x:v>
      </x:c>
      <x:c r="H75" t="s">
        <x:v>134</x:v>
      </x:c>
      <x:c r="I75">
        <x:v>1</x:v>
      </x:c>
      <x:c r="L75">
        <x:v>0</x:v>
      </x:c>
      <x:c r="M75">
        <x:v>0.91</x:v>
      </x:c>
      <x:c r="N75">
        <x:v>1.7</x:v>
      </x:c>
      <x:c r="O75">
        <x:v>16</x:v>
      </x:c>
      <x:c r="P75">
        <x:v>0</x:v>
      </x:c>
      <x:c r="Q75">
        <x:v>0</x:v>
      </x:c>
      <x:c r="R75" s="10">
        <x:v>0</x:v>
      </x:c>
      <x:c r="S75">
        <x:v>0</x:v>
      </x:c>
      <x:c r="T75">
        <x:v>0</x:v>
      </x:c>
      <x:c r="U75" s="10">
        <x:v>0</x:v>
      </x:c>
      <x:c r="W75" s="11" t="n">
        <x:f>Summary!$B$2</x:f>
        <x:v>0.15</x:v>
      </x:c>
      <x:c r="X75" s="11" t="n">
        <x:f>IFERROR(AD75-Summary!$B$2,"")</x:f>
        <x:v>-0.15</x:v>
      </x:c>
      <x:c r="Y75" s="10" t="str">
        <x:f>IFERROR((U75/Q75)*Summary!$B$2,"")</x:f>
      </x:c>
      <x:c r="Z75" s="12" t="n">
        <x:f>IFERROR(Q75/O75,0)</x:f>
        <x:v>0</x:v>
      </x:c>
      <x:c r="AA75" s="12" t="n">
        <x:f>IFERROR(T75/Q75,0)</x:f>
        <x:v>0</x:v>
      </x:c>
      <x:c r="AB75" s="10" t="n">
        <x:f>IFERROR(R75/Q75,0)</x:f>
        <x:v>0</x:v>
      </x:c>
      <x:c r="AC75" s="10" t="n">
        <x:f>IFERROR(U75/R75,0)</x:f>
        <x:v>0</x:v>
      </x:c>
      <x:c r="AD75" s="12" t="n">
        <x:f>IFERROR(R75/U75,0)</x:f>
        <x:v>0</x:v>
      </x:c>
      <x:c r="AE75" s="10" t="n">
        <x:f>IFERROR(U75/Q75,0)</x:f>
        <x:v>0</x:v>
      </x:c>
      <x:c r="AF75" s="10" t="n">
        <x:f>IF(Q75=0,M75,IF(U75=0,IF(Q75&gt;=10,MAX(0.02,M75*0.7),M75),IF(AD75=0,M75,MAX(0.02,IF(AD75&gt;Summary!$B$2,M75*Summary!$B$2/AD75,MIN(M75*1.2,M75*Summary!$B$2/AD75))))))</x:f>
        <x:v>0.91</x:v>
      </x:c>
      <x:c r="AG75" s="11" t="n">
        <x:f>IFERROR(AF75/M75-1,0)</x:f>
        <x:v>0</x:v>
      </x:c>
      <x:c r="AH75" t="str">
        <x:f>IF(Q75=0,"Need clicks",IF(AND(U75=0,Q75&gt;=10),"No sales: lower/pause",IF(AND(AD75&gt;Summary!$B$2,T75&gt;0),"Over target: reduce",IF(AND(AD75&lt;=Summary!$B$2,T75&gt;0),"At/under target: scale/hold",IF(AND(Q75&gt;0,T75=0),"Collect data","Review")))))</x:f>
        <x:v>Need clicks</x:v>
      </x:c>
      <x:c r="AI75" s="10" t="n">
        <x:f>IFERROR(IF(U75=0,R75,MAX(0,R75-(U75*Summary!$B$2))),0)</x:f>
        <x:v>0</x:v>
      </x:c>
      <x:c r="AJ75" t="str">
        <x:f>IF(AH75="No sales: lower/pause","Waste",IF(AH75="Over target: reduce","Inefficient",IF(AH75="At/under target: scale/hold","Efficient",IF(AND(O75&gt;=1000,Q75=0),"High imp/no click","Data gathering"))))</x:f>
        <x:v>Data gathering</x:v>
      </x:c>
    </x:row>
    <x:row r="76">
      <x:c r="A76" t="s">
        <x:v>22</x:v>
      </x:c>
      <x:c r="B76" t="s">
        <x:v>135</x:v>
      </x:c>
      <x:c r="C76" t="s">
        <x:v>22</x:v>
      </x:c>
      <x:c r="D76" t="s">
        <x:v>24</x:v>
      </x:c>
      <x:c r="E76" t="s">
        <x:v>63</x:v>
      </x:c>
      <x:c r="F76" t="s">
        <x:v>26</x:v>
      </x:c>
      <x:c r="G76" t="s">
        <x:v>27</x:v>
      </x:c>
      <x:c r="H76" t="s">
        <x:v>134</x:v>
      </x:c>
      <x:c r="I76">
        <x:v>1</x:v>
      </x:c>
      <x:c r="L76">
        <x:v>0</x:v>
      </x:c>
      <x:c r="M76">
        <x:v>1.6</x:v>
      </x:c>
      <x:c r="N76">
        <x:v>1.6</x:v>
      </x:c>
      <x:c r="O76">
        <x:v>4</x:v>
      </x:c>
      <x:c r="P76">
        <x:v>0</x:v>
      </x:c>
      <x:c r="Q76">
        <x:v>0</x:v>
      </x:c>
      <x:c r="R76" s="10">
        <x:v>0</x:v>
      </x:c>
      <x:c r="S76">
        <x:v>0</x:v>
      </x:c>
      <x:c r="T76">
        <x:v>0</x:v>
      </x:c>
      <x:c r="U76" s="10">
        <x:v>0</x:v>
      </x:c>
      <x:c r="W76" s="11" t="n">
        <x:f>Summary!$B$2</x:f>
        <x:v>0.15</x:v>
      </x:c>
      <x:c r="X76" s="11" t="n">
        <x:f>IFERROR(AD76-Summary!$B$2,"")</x:f>
        <x:v>-0.15</x:v>
      </x:c>
      <x:c r="Y76" s="10" t="str">
        <x:f>IFERROR((U76/Q76)*Summary!$B$2,"")</x:f>
      </x:c>
      <x:c r="Z76" s="12" t="n">
        <x:f>IFERROR(Q76/O76,0)</x:f>
        <x:v>0</x:v>
      </x:c>
      <x:c r="AA76" s="12" t="n">
        <x:f>IFERROR(T76/Q76,0)</x:f>
        <x:v>0</x:v>
      </x:c>
      <x:c r="AB76" s="10" t="n">
        <x:f>IFERROR(R76/Q76,0)</x:f>
        <x:v>0</x:v>
      </x:c>
      <x:c r="AC76" s="10" t="n">
        <x:f>IFERROR(U76/R76,0)</x:f>
        <x:v>0</x:v>
      </x:c>
      <x:c r="AD76" s="12" t="n">
        <x:f>IFERROR(R76/U76,0)</x:f>
        <x:v>0</x:v>
      </x:c>
      <x:c r="AE76" s="10" t="n">
        <x:f>IFERROR(U76/Q76,0)</x:f>
        <x:v>0</x:v>
      </x:c>
      <x:c r="AF76" s="10" t="n">
        <x:f>IF(Q76=0,M76,IF(U76=0,IF(Q76&gt;=10,MAX(0.02,M76*0.7),M76),IF(AD76=0,M76,MAX(0.02,IF(AD76&gt;Summary!$B$2,M76*Summary!$B$2/AD76,MIN(M76*1.2,M76*Summary!$B$2/AD76))))))</x:f>
        <x:v>1.6</x:v>
      </x:c>
      <x:c r="AG76" s="11" t="n">
        <x:f>IFERROR(AF76/M76-1,0)</x:f>
        <x:v>0</x:v>
      </x:c>
      <x:c r="AH76" t="str">
        <x:f>IF(Q76=0,"Need clicks",IF(AND(U76=0,Q76&gt;=10),"No sales: lower/pause",IF(AND(AD76&gt;Summary!$B$2,T76&gt;0),"Over target: reduce",IF(AND(AD76&lt;=Summary!$B$2,T76&gt;0),"At/under target: scale/hold",IF(AND(Q76&gt;0,T76=0),"Collect data","Review")))))</x:f>
        <x:v>Need clicks</x:v>
      </x:c>
      <x:c r="AI76" s="10" t="n">
        <x:f>IFERROR(IF(U76=0,R76,MAX(0,R76-(U76*Summary!$B$2))),0)</x:f>
        <x:v>0</x:v>
      </x:c>
      <x:c r="AJ76" t="str">
        <x:f>IF(AH76="No sales: lower/pause","Waste",IF(AH76="Over target: reduce","Inefficient",IF(AH76="At/under target: scale/hold","Efficient",IF(AND(O76&gt;=1000,Q76=0),"High imp/no click","Data gathering"))))</x:f>
        <x:v>Data gathering</x:v>
      </x:c>
    </x:row>
    <x:row r="77">
      <x:c r="A77" t="s">
        <x:v>22</x:v>
      </x:c>
      <x:c r="B77" t="s">
        <x:v>136</x:v>
      </x:c>
      <x:c r="C77" t="s">
        <x:v>22</x:v>
      </x:c>
      <x:c r="D77" t="s">
        <x:v>24</x:v>
      </x:c>
      <x:c r="E77" t="s">
        <x:v>63</x:v>
      </x:c>
      <x:c r="F77" t="s">
        <x:v>26</x:v>
      </x:c>
      <x:c r="G77" t="s">
        <x:v>27</x:v>
      </x:c>
      <x:c r="H77" t="s">
        <x:v>134</x:v>
      </x:c>
      <x:c r="I77">
        <x:v>1</x:v>
      </x:c>
      <x:c r="L77">
        <x:v>0</x:v>
      </x:c>
      <x:c r="M77">
        <x:v>1.19</x:v>
      </x:c>
      <x:c r="N77">
        <x:v>7.14</x:v>
      </x:c>
      <x:c r="O77">
        <x:v>15</x:v>
      </x:c>
      <x:c r="P77">
        <x:v>0</x:v>
      </x:c>
      <x:c r="Q77">
        <x:v>0</x:v>
      </x:c>
      <x:c r="R77" s="10">
        <x:v>0</x:v>
      </x:c>
      <x:c r="S77">
        <x:v>0</x:v>
      </x:c>
      <x:c r="T77">
        <x:v>0</x:v>
      </x:c>
      <x:c r="U77" s="10">
        <x:v>0</x:v>
      </x:c>
      <x:c r="W77" s="11" t="n">
        <x:f>Summary!$B$2</x:f>
        <x:v>0.15</x:v>
      </x:c>
      <x:c r="X77" s="11" t="n">
        <x:f>IFERROR(AD77-Summary!$B$2,"")</x:f>
        <x:v>-0.15</x:v>
      </x:c>
      <x:c r="Y77" s="10" t="str">
        <x:f>IFERROR((U77/Q77)*Summary!$B$2,"")</x:f>
      </x:c>
      <x:c r="Z77" s="12" t="n">
        <x:f>IFERROR(Q77/O77,0)</x:f>
        <x:v>0</x:v>
      </x:c>
      <x:c r="AA77" s="12" t="n">
        <x:f>IFERROR(T77/Q77,0)</x:f>
        <x:v>0</x:v>
      </x:c>
      <x:c r="AB77" s="10" t="n">
        <x:f>IFERROR(R77/Q77,0)</x:f>
        <x:v>0</x:v>
      </x:c>
      <x:c r="AC77" s="10" t="n">
        <x:f>IFERROR(U77/R77,0)</x:f>
        <x:v>0</x:v>
      </x:c>
      <x:c r="AD77" s="12" t="n">
        <x:f>IFERROR(R77/U77,0)</x:f>
        <x:v>0</x:v>
      </x:c>
      <x:c r="AE77" s="10" t="n">
        <x:f>IFERROR(U77/Q77,0)</x:f>
        <x:v>0</x:v>
      </x:c>
      <x:c r="AF77" s="10" t="n">
        <x:f>IF(Q77=0,M77,IF(U77=0,IF(Q77&gt;=10,MAX(0.02,M77*0.7),M77),IF(AD77=0,M77,MAX(0.02,IF(AD77&gt;Summary!$B$2,M77*Summary!$B$2/AD77,MIN(M77*1.2,M77*Summary!$B$2/AD77))))))</x:f>
        <x:v>1.19</x:v>
      </x:c>
      <x:c r="AG77" s="11" t="n">
        <x:f>IFERROR(AF77/M77-1,0)</x:f>
        <x:v>0</x:v>
      </x:c>
      <x:c r="AH77" t="str">
        <x:f>IF(Q77=0,"Need clicks",IF(AND(U77=0,Q77&gt;=10),"No sales: lower/pause",IF(AND(AD77&gt;Summary!$B$2,T77&gt;0),"Over target: reduce",IF(AND(AD77&lt;=Summary!$B$2,T77&gt;0),"At/under target: scale/hold",IF(AND(Q77&gt;0,T77=0),"Collect data","Review")))))</x:f>
        <x:v>Need clicks</x:v>
      </x:c>
      <x:c r="AI77" s="10" t="n">
        <x:f>IFERROR(IF(U77=0,R77,MAX(0,R77-(U77*Summary!$B$2))),0)</x:f>
        <x:v>0</x:v>
      </x:c>
      <x:c r="AJ77" t="str">
        <x:f>IF(AH77="No sales: lower/pause","Waste",IF(AH77="Over target: reduce","Inefficient",IF(AH77="At/under target: scale/hold","Efficient",IF(AND(O77&gt;=1000,Q77=0),"High imp/no click","Data gathering"))))</x:f>
        <x:v>Data gathering</x:v>
      </x:c>
    </x:row>
    <x:row r="78">
      <x:c r="A78" t="s">
        <x:v>22</x:v>
      </x:c>
      <x:c r="B78" t="s">
        <x:v>137</x:v>
      </x:c>
      <x:c r="C78" t="s">
        <x:v>22</x:v>
      </x:c>
      <x:c r="D78" t="s">
        <x:v>24</x:v>
      </x:c>
      <x:c r="E78" t="s">
        <x:v>63</x:v>
      </x:c>
      <x:c r="F78" t="s">
        <x:v>26</x:v>
      </x:c>
      <x:c r="G78" t="s">
        <x:v>27</x:v>
      </x:c>
      <x:c r="H78" t="s">
        <x:v>134</x:v>
      </x:c>
      <x:c r="I78">
        <x:v>1</x:v>
      </x:c>
      <x:c r="L78">
        <x:v>0</x:v>
      </x:c>
      <x:c r="M78">
        <x:v>4.46</x:v>
      </x:c>
      <x:c r="N78">
        <x:v>7.14</x:v>
      </x:c>
      <x:c r="O78">
        <x:v>38</x:v>
      </x:c>
      <x:c r="P78" s="1" t="s">
        <x:v>138</x:v>
      </x:c>
      <x:c r="Q78">
        <x:v>0</x:v>
      </x:c>
      <x:c r="R78" s="10">
        <x:v>0</x:v>
      </x:c>
      <x:c r="S78">
        <x:v>0</x:v>
      </x:c>
      <x:c r="T78">
        <x:v>0</x:v>
      </x:c>
      <x:c r="U78" s="10">
        <x:v>0</x:v>
      </x:c>
      <x:c r="W78" s="11" t="n">
        <x:f>Summary!$B$2</x:f>
        <x:v>0.15</x:v>
      </x:c>
      <x:c r="X78" s="11" t="n">
        <x:f>IFERROR(AD78-Summary!$B$2,"")</x:f>
        <x:v>-0.15</x:v>
      </x:c>
      <x:c r="Y78" s="10" t="str">
        <x:f>IFERROR((U78/Q78)*Summary!$B$2,"")</x:f>
      </x:c>
      <x:c r="Z78" s="12" t="n">
        <x:f>IFERROR(Q78/O78,0)</x:f>
        <x:v>0</x:v>
      </x:c>
      <x:c r="AA78" s="12" t="n">
        <x:f>IFERROR(T78/Q78,0)</x:f>
        <x:v>0</x:v>
      </x:c>
      <x:c r="AB78" s="10" t="n">
        <x:f>IFERROR(R78/Q78,0)</x:f>
        <x:v>0</x:v>
      </x:c>
      <x:c r="AC78" s="10" t="n">
        <x:f>IFERROR(U78/R78,0)</x:f>
        <x:v>0</x:v>
      </x:c>
      <x:c r="AD78" s="12" t="n">
        <x:f>IFERROR(R78/U78,0)</x:f>
        <x:v>0</x:v>
      </x:c>
      <x:c r="AE78" s="10" t="n">
        <x:f>IFERROR(U78/Q78,0)</x:f>
        <x:v>0</x:v>
      </x:c>
      <x:c r="AF78" s="10" t="n">
        <x:f>IF(Q78=0,M78,IF(U78=0,IF(Q78&gt;=10,MAX(0.02,M78*0.7),M78),IF(AD78=0,M78,MAX(0.02,IF(AD78&gt;Summary!$B$2,M78*Summary!$B$2/AD78,MIN(M78*1.2,M78*Summary!$B$2/AD78))))))</x:f>
        <x:v>4.46</x:v>
      </x:c>
      <x:c r="AG78" s="11" t="n">
        <x:f>IFERROR(AF78/M78-1,0)</x:f>
        <x:v>0</x:v>
      </x:c>
      <x:c r="AH78" t="str">
        <x:f>IF(Q78=0,"Need clicks",IF(AND(U78=0,Q78&gt;=10),"No sales: lower/pause",IF(AND(AD78&gt;Summary!$B$2,T78&gt;0),"Over target: reduce",IF(AND(AD78&lt;=Summary!$B$2,T78&gt;0),"At/under target: scale/hold",IF(AND(Q78&gt;0,T78=0),"Collect data","Review")))))</x:f>
        <x:v>Need clicks</x:v>
      </x:c>
      <x:c r="AI78" s="10" t="n">
        <x:f>IFERROR(IF(U78=0,R78,MAX(0,R78-(U78*Summary!$B$2))),0)</x:f>
        <x:v>0</x:v>
      </x:c>
      <x:c r="AJ78" t="str">
        <x:f>IF(AH78="No sales: lower/pause","Waste",IF(AH78="Over target: reduce","Inefficient",IF(AH78="At/under target: scale/hold","Efficient",IF(AND(O78&gt;=1000,Q78=0),"High imp/no click","Data gathering"))))</x:f>
        <x:v>Data gathering</x:v>
      </x:c>
    </x:row>
    <x:row r="79">
      <x:c r="A79" t="s">
        <x:v>22</x:v>
      </x:c>
      <x:c r="B79" t="s">
        <x:v>139</x:v>
      </x:c>
      <x:c r="C79" t="s">
        <x:v>22</x:v>
      </x:c>
      <x:c r="D79" t="s">
        <x:v>24</x:v>
      </x:c>
      <x:c r="E79" t="s">
        <x:v>63</x:v>
      </x:c>
      <x:c r="F79" t="s">
        <x:v>26</x:v>
      </x:c>
      <x:c r="G79" t="s">
        <x:v>27</x:v>
      </x:c>
      <x:c r="H79" t="s">
        <x:v>134</x:v>
      </x:c>
      <x:c r="I79">
        <x:v>1</x:v>
      </x:c>
      <x:c r="L79">
        <x:v>0</x:v>
      </x:c>
      <x:c r="M79">
        <x:v>1.37</x:v>
      </x:c>
      <x:c r="N79">
        <x:v>1.28</x:v>
      </x:c>
      <x:c r="O79">
        <x:v>13</x:v>
      </x:c>
      <x:c r="P79">
        <x:v>0</x:v>
      </x:c>
      <x:c r="Q79">
        <x:v>0</x:v>
      </x:c>
      <x:c r="R79" s="10">
        <x:v>0</x:v>
      </x:c>
      <x:c r="S79">
        <x:v>0</x:v>
      </x:c>
      <x:c r="T79">
        <x:v>0</x:v>
      </x:c>
      <x:c r="U79" s="10">
        <x:v>0</x:v>
      </x:c>
      <x:c r="W79" s="11" t="n">
        <x:f>Summary!$B$2</x:f>
        <x:v>0.15</x:v>
      </x:c>
      <x:c r="X79" s="11" t="n">
        <x:f>IFERROR(AD79-Summary!$B$2,"")</x:f>
        <x:v>-0.15</x:v>
      </x:c>
      <x:c r="Y79" s="10" t="str">
        <x:f>IFERROR((U79/Q79)*Summary!$B$2,"")</x:f>
      </x:c>
      <x:c r="Z79" s="12" t="n">
        <x:f>IFERROR(Q79/O79,0)</x:f>
        <x:v>0</x:v>
      </x:c>
      <x:c r="AA79" s="12" t="n">
        <x:f>IFERROR(T79/Q79,0)</x:f>
        <x:v>0</x:v>
      </x:c>
      <x:c r="AB79" s="10" t="n">
        <x:f>IFERROR(R79/Q79,0)</x:f>
        <x:v>0</x:v>
      </x:c>
      <x:c r="AC79" s="10" t="n">
        <x:f>IFERROR(U79/R79,0)</x:f>
        <x:v>0</x:v>
      </x:c>
      <x:c r="AD79" s="12" t="n">
        <x:f>IFERROR(R79/U79,0)</x:f>
        <x:v>0</x:v>
      </x:c>
      <x:c r="AE79" s="10" t="n">
        <x:f>IFERROR(U79/Q79,0)</x:f>
        <x:v>0</x:v>
      </x:c>
      <x:c r="AF79" s="10" t="n">
        <x:f>IF(Q79=0,M79,IF(U79=0,IF(Q79&gt;=10,MAX(0.02,M79*0.7),M79),IF(AD79=0,M79,MAX(0.02,IF(AD79&gt;Summary!$B$2,M79*Summary!$B$2/AD79,MIN(M79*1.2,M79*Summary!$B$2/AD79))))))</x:f>
        <x:v>1.37</x:v>
      </x:c>
      <x:c r="AG79" s="11" t="n">
        <x:f>IFERROR(AF79/M79-1,0)</x:f>
        <x:v>0</x:v>
      </x:c>
      <x:c r="AH79" t="str">
        <x:f>IF(Q79=0,"Need clicks",IF(AND(U79=0,Q79&gt;=10),"No sales: lower/pause",IF(AND(AD79&gt;Summary!$B$2,T79&gt;0),"Over target: reduce",IF(AND(AD79&lt;=Summary!$B$2,T79&gt;0),"At/under target: scale/hold",IF(AND(Q79&gt;0,T79=0),"Collect data","Review")))))</x:f>
        <x:v>Need clicks</x:v>
      </x:c>
      <x:c r="AI79" s="10" t="n">
        <x:f>IFERROR(IF(U79=0,R79,MAX(0,R79-(U79*Summary!$B$2))),0)</x:f>
        <x:v>0</x:v>
      </x:c>
      <x:c r="AJ79" t="str">
        <x:f>IF(AH79="No sales: lower/pause","Waste",IF(AH79="Over target: reduce","Inefficient",IF(AH79="At/under target: scale/hold","Efficient",IF(AND(O79&gt;=1000,Q79=0),"High imp/no click","Data gathering"))))</x:f>
        <x:v>Data gathering</x:v>
      </x:c>
    </x:row>
    <x:row r="80">
      <x:c r="A80" t="s">
        <x:v>22</x:v>
      </x:c>
      <x:c r="B80" t="s">
        <x:v>140</x:v>
      </x:c>
      <x:c r="C80" t="s">
        <x:v>22</x:v>
      </x:c>
      <x:c r="D80" t="s">
        <x:v>24</x:v>
      </x:c>
      <x:c r="E80" t="s">
        <x:v>63</x:v>
      </x:c>
      <x:c r="F80" t="s">
        <x:v>26</x:v>
      </x:c>
      <x:c r="G80" t="s">
        <x:v>27</x:v>
      </x:c>
      <x:c r="H80" t="s">
        <x:v>134</x:v>
      </x:c>
      <x:c r="I80">
        <x:v>1</x:v>
      </x:c>
      <x:c r="L80">
        <x:v>0</x:v>
      </x:c>
      <x:c r="M80">
        <x:v>1.01</x:v>
      </x:c>
      <x:c r="N80">
        <x:v>1.41</x:v>
      </x:c>
      <x:c r="O80">
        <x:v>1</x:v>
      </x:c>
      <x:c r="Q80">
        <x:v>0</x:v>
      </x:c>
      <x:c r="R80" s="10">
        <x:v>0</x:v>
      </x:c>
      <x:c r="S80">
        <x:v>0</x:v>
      </x:c>
      <x:c r="T80">
        <x:v>0</x:v>
      </x:c>
      <x:c r="U80" s="10">
        <x:v>0</x:v>
      </x:c>
      <x:c r="W80" s="11" t="n">
        <x:f>Summary!$B$2</x:f>
        <x:v>0.15</x:v>
      </x:c>
      <x:c r="X80" s="11" t="n">
        <x:f>IFERROR(AD80-Summary!$B$2,"")</x:f>
        <x:v>-0.15</x:v>
      </x:c>
      <x:c r="Y80" s="10" t="str">
        <x:f>IFERROR((U80/Q80)*Summary!$B$2,"")</x:f>
      </x:c>
      <x:c r="Z80" s="12" t="n">
        <x:f>IFERROR(Q80/O80,0)</x:f>
        <x:v>0</x:v>
      </x:c>
      <x:c r="AA80" s="12" t="n">
        <x:f>IFERROR(T80/Q80,0)</x:f>
        <x:v>0</x:v>
      </x:c>
      <x:c r="AB80" s="10" t="n">
        <x:f>IFERROR(R80/Q80,0)</x:f>
        <x:v>0</x:v>
      </x:c>
      <x:c r="AC80" s="10" t="n">
        <x:f>IFERROR(U80/R80,0)</x:f>
        <x:v>0</x:v>
      </x:c>
      <x:c r="AD80" s="12" t="n">
        <x:f>IFERROR(R80/U80,0)</x:f>
        <x:v>0</x:v>
      </x:c>
      <x:c r="AE80" s="10" t="n">
        <x:f>IFERROR(U80/Q80,0)</x:f>
        <x:v>0</x:v>
      </x:c>
      <x:c r="AF80" s="10" t="n">
        <x:f>IF(Q80=0,M80,IF(U80=0,IF(Q80&gt;=10,MAX(0.02,M80*0.7),M80),IF(AD80=0,M80,MAX(0.02,IF(AD80&gt;Summary!$B$2,M80*Summary!$B$2/AD80,MIN(M80*1.2,M80*Summary!$B$2/AD80))))))</x:f>
        <x:v>1.01</x:v>
      </x:c>
      <x:c r="AG80" s="11" t="n">
        <x:f>IFERROR(AF80/M80-1,0)</x:f>
        <x:v>0</x:v>
      </x:c>
      <x:c r="AH80" t="str">
        <x:f>IF(Q80=0,"Need clicks",IF(AND(U80=0,Q80&gt;=10),"No sales: lower/pause",IF(AND(AD80&gt;Summary!$B$2,T80&gt;0),"Over target: reduce",IF(AND(AD80&lt;=Summary!$B$2,T80&gt;0),"At/under target: scale/hold",IF(AND(Q80&gt;0,T80=0),"Collect data","Review")))))</x:f>
        <x:v>Need clicks</x:v>
      </x:c>
      <x:c r="AI80" s="10" t="n">
        <x:f>IFERROR(IF(U80=0,R80,MAX(0,R80-(U80*Summary!$B$2))),0)</x:f>
        <x:v>0</x:v>
      </x:c>
      <x:c r="AJ80" t="str">
        <x:f>IF(AH80="No sales: lower/pause","Waste",IF(AH80="Over target: reduce","Inefficient",IF(AH80="At/under target: scale/hold","Efficient",IF(AND(O80&gt;=1000,Q80=0),"High imp/no click","Data gathering"))))</x:f>
        <x:v>Data gathering</x:v>
      </x:c>
    </x:row>
    <x:row r="81">
      <x:c r="A81" t="s">
        <x:v>22</x:v>
      </x:c>
      <x:c r="B81" t="s">
        <x:v>141</x:v>
      </x:c>
      <x:c r="C81" t="s">
        <x:v>22</x:v>
      </x:c>
      <x:c r="D81" t="s">
        <x:v>24</x:v>
      </x:c>
      <x:c r="E81" t="s">
        <x:v>63</x:v>
      </x:c>
      <x:c r="F81" t="s">
        <x:v>26</x:v>
      </x:c>
      <x:c r="G81" t="s">
        <x:v>27</x:v>
      </x:c>
      <x:c r="H81" t="s">
        <x:v>134</x:v>
      </x:c>
      <x:c r="I81">
        <x:v>1</x:v>
      </x:c>
      <x:c r="L81">
        <x:v>0</x:v>
      </x:c>
      <x:c r="M81">
        <x:v>1.1599999999999999</x:v>
      </x:c>
      <x:c r="N81">
        <x:v>1.89</x:v>
      </x:c>
      <x:c r="O81">
        <x:v>75</x:v>
      </x:c>
      <x:c r="P81">
        <x:v>0</x:v>
      </x:c>
      <x:c r="Q81">
        <x:v>0</x:v>
      </x:c>
      <x:c r="R81" s="10">
        <x:v>0</x:v>
      </x:c>
      <x:c r="S81">
        <x:v>0</x:v>
      </x:c>
      <x:c r="T81">
        <x:v>0</x:v>
      </x:c>
      <x:c r="U81" s="10">
        <x:v>0</x:v>
      </x:c>
      <x:c r="W81" s="11" t="n">
        <x:f>Summary!$B$2</x:f>
        <x:v>0.15</x:v>
      </x:c>
      <x:c r="X81" s="11" t="n">
        <x:f>IFERROR(AD81-Summary!$B$2,"")</x:f>
        <x:v>-0.15</x:v>
      </x:c>
      <x:c r="Y81" s="10" t="str">
        <x:f>IFERROR((U81/Q81)*Summary!$B$2,"")</x:f>
      </x:c>
      <x:c r="Z81" s="12" t="n">
        <x:f>IFERROR(Q81/O81,0)</x:f>
        <x:v>0</x:v>
      </x:c>
      <x:c r="AA81" s="12" t="n">
        <x:f>IFERROR(T81/Q81,0)</x:f>
        <x:v>0</x:v>
      </x:c>
      <x:c r="AB81" s="10" t="n">
        <x:f>IFERROR(R81/Q81,0)</x:f>
        <x:v>0</x:v>
      </x:c>
      <x:c r="AC81" s="10" t="n">
        <x:f>IFERROR(U81/R81,0)</x:f>
        <x:v>0</x:v>
      </x:c>
      <x:c r="AD81" s="12" t="n">
        <x:f>IFERROR(R81/U81,0)</x:f>
        <x:v>0</x:v>
      </x:c>
      <x:c r="AE81" s="10" t="n">
        <x:f>IFERROR(U81/Q81,0)</x:f>
        <x:v>0</x:v>
      </x:c>
      <x:c r="AF81" s="10" t="n">
        <x:f>IF(Q81=0,M81,IF(U81=0,IF(Q81&gt;=10,MAX(0.02,M81*0.7),M81),IF(AD81=0,M81,MAX(0.02,IF(AD81&gt;Summary!$B$2,M81*Summary!$B$2/AD81,MIN(M81*1.2,M81*Summary!$B$2/AD81))))))</x:f>
        <x:v>1.16</x:v>
      </x:c>
      <x:c r="AG81" s="11" t="n">
        <x:f>IFERROR(AF81/M81-1,0)</x:f>
        <x:v>0</x:v>
      </x:c>
      <x:c r="AH81" t="str">
        <x:f>IF(Q81=0,"Need clicks",IF(AND(U81=0,Q81&gt;=10),"No sales: lower/pause",IF(AND(AD81&gt;Summary!$B$2,T81&gt;0),"Over target: reduce",IF(AND(AD81&lt;=Summary!$B$2,T81&gt;0),"At/under target: scale/hold",IF(AND(Q81&gt;0,T81=0),"Collect data","Review")))))</x:f>
        <x:v>Need clicks</x:v>
      </x:c>
      <x:c r="AI81" s="10" t="n">
        <x:f>IFERROR(IF(U81=0,R81,MAX(0,R81-(U81*Summary!$B$2))),0)</x:f>
        <x:v>0</x:v>
      </x:c>
      <x:c r="AJ81" t="str">
        <x:f>IF(AH81="No sales: lower/pause","Waste",IF(AH81="Over target: reduce","Inefficient",IF(AH81="At/under target: scale/hold","Efficient",IF(AND(O81&gt;=1000,Q81=0),"High imp/no click","Data gathering"))))</x:f>
        <x:v>Data gathering</x:v>
      </x:c>
    </x:row>
    <x:row r="82">
      <x:c r="A82" t="s">
        <x:v>22</x:v>
      </x:c>
      <x:c r="B82" t="s">
        <x:v>108</x:v>
      </x:c>
      <x:c r="C82" t="s">
        <x:v>22</x:v>
      </x:c>
      <x:c r="D82" t="s">
        <x:v>24</x:v>
      </x:c>
      <x:c r="E82" t="s">
        <x:v>63</x:v>
      </x:c>
      <x:c r="F82" t="s">
        <x:v>26</x:v>
      </x:c>
      <x:c r="G82" t="s">
        <x:v>27</x:v>
      </x:c>
      <x:c r="H82" t="s">
        <x:v>142</x:v>
      </x:c>
      <x:c r="I82">
        <x:v>1</x:v>
      </x:c>
      <x:c r="L82">
        <x:v>0</x:v>
      </x:c>
      <x:c r="M82">
        <x:v>2.42</x:v>
      </x:c>
      <x:c r="N82">
        <x:v>7.14</x:v>
      </x:c>
      <x:c r="O82">
        <x:v>195</x:v>
      </x:c>
      <x:c r="P82">
        <x:v>0</x:v>
      </x:c>
      <x:c r="Q82">
        <x:v>0</x:v>
      </x:c>
      <x:c r="R82" s="10">
        <x:v>0</x:v>
      </x:c>
      <x:c r="S82">
        <x:v>0</x:v>
      </x:c>
      <x:c r="T82">
        <x:v>0</x:v>
      </x:c>
      <x:c r="U82" s="10">
        <x:v>0</x:v>
      </x:c>
      <x:c r="W82" s="11" t="n">
        <x:f>Summary!$B$2</x:f>
        <x:v>0.15</x:v>
      </x:c>
      <x:c r="X82" s="11" t="n">
        <x:f>IFERROR(AD82-Summary!$B$2,"")</x:f>
        <x:v>-0.15</x:v>
      </x:c>
      <x:c r="Y82" s="10" t="str">
        <x:f>IFERROR((U82/Q82)*Summary!$B$2,"")</x:f>
      </x:c>
      <x:c r="Z82" s="12" t="n">
        <x:f>IFERROR(Q82/O82,0)</x:f>
        <x:v>0</x:v>
      </x:c>
      <x:c r="AA82" s="12" t="n">
        <x:f>IFERROR(T82/Q82,0)</x:f>
        <x:v>0</x:v>
      </x:c>
      <x:c r="AB82" s="10" t="n">
        <x:f>IFERROR(R82/Q82,0)</x:f>
        <x:v>0</x:v>
      </x:c>
      <x:c r="AC82" s="10" t="n">
        <x:f>IFERROR(U82/R82,0)</x:f>
        <x:v>0</x:v>
      </x:c>
      <x:c r="AD82" s="12" t="n">
        <x:f>IFERROR(R82/U82,0)</x:f>
        <x:v>0</x:v>
      </x:c>
      <x:c r="AE82" s="10" t="n">
        <x:f>IFERROR(U82/Q82,0)</x:f>
        <x:v>0</x:v>
      </x:c>
      <x:c r="AF82" s="10" t="n">
        <x:f>IF(Q82=0,M82,IF(U82=0,IF(Q82&gt;=10,MAX(0.02,M82*0.7),M82),IF(AD82=0,M82,MAX(0.02,IF(AD82&gt;Summary!$B$2,M82*Summary!$B$2/AD82,MIN(M82*1.2,M82*Summary!$B$2/AD82))))))</x:f>
        <x:v>2.42</x:v>
      </x:c>
      <x:c r="AG82" s="11" t="n">
        <x:f>IFERROR(AF82/M82-1,0)</x:f>
        <x:v>0</x:v>
      </x:c>
      <x:c r="AH82" t="str">
        <x:f>IF(Q82=0,"Need clicks",IF(AND(U82=0,Q82&gt;=10),"No sales: lower/pause",IF(AND(AD82&gt;Summary!$B$2,T82&gt;0),"Over target: reduce",IF(AND(AD82&lt;=Summary!$B$2,T82&gt;0),"At/under target: scale/hold",IF(AND(Q82&gt;0,T82=0),"Collect data","Review")))))</x:f>
        <x:v>Need clicks</x:v>
      </x:c>
      <x:c r="AI82" s="10" t="n">
        <x:f>IFERROR(IF(U82=0,R82,MAX(0,R82-(U82*Summary!$B$2))),0)</x:f>
        <x:v>0</x:v>
      </x:c>
      <x:c r="AJ82" t="str">
        <x:f>IF(AH82="No sales: lower/pause","Waste",IF(AH82="Over target: reduce","Inefficient",IF(AH82="At/under target: scale/hold","Efficient",IF(AND(O82&gt;=1000,Q82=0),"High imp/no click","Data gathering"))))</x:f>
        <x:v>Data gathering</x:v>
      </x:c>
    </x:row>
    <x:row r="83">
      <x:c r="A83" t="s">
        <x:v>22</x:v>
      </x:c>
      <x:c r="B83" t="s">
        <x:v>143</x:v>
      </x:c>
      <x:c r="C83" t="s">
        <x:v>22</x:v>
      </x:c>
      <x:c r="D83" t="s">
        <x:v>24</x:v>
      </x:c>
      <x:c r="E83" t="s">
        <x:v>63</x:v>
      </x:c>
      <x:c r="F83" t="s">
        <x:v>26</x:v>
      </x:c>
      <x:c r="G83" t="s">
        <x:v>27</x:v>
      </x:c>
      <x:c r="H83" t="s">
        <x:v>142</x:v>
      </x:c>
      <x:c r="I83">
        <x:v>1</x:v>
      </x:c>
      <x:c r="L83">
        <x:v>0</x:v>
      </x:c>
      <x:c r="M83">
        <x:v>1.67</x:v>
      </x:c>
      <x:c r="N83">
        <x:v>3.72</x:v>
      </x:c>
      <x:c r="O83">
        <x:v>78</x:v>
      </x:c>
      <x:c r="P83" s="1" t="s">
        <x:v>144</x:v>
      </x:c>
      <x:c r="Q83">
        <x:v>0</x:v>
      </x:c>
      <x:c r="R83" s="10">
        <x:v>0</x:v>
      </x:c>
      <x:c r="S83">
        <x:v>0</x:v>
      </x:c>
      <x:c r="T83">
        <x:v>0</x:v>
      </x:c>
      <x:c r="U83" s="10">
        <x:v>0</x:v>
      </x:c>
      <x:c r="W83" s="11" t="n">
        <x:f>Summary!$B$2</x:f>
        <x:v>0.15</x:v>
      </x:c>
      <x:c r="X83" s="11" t="n">
        <x:f>IFERROR(AD83-Summary!$B$2,"")</x:f>
        <x:v>-0.15</x:v>
      </x:c>
      <x:c r="Y83" s="10" t="str">
        <x:f>IFERROR((U83/Q83)*Summary!$B$2,"")</x:f>
      </x:c>
      <x:c r="Z83" s="12" t="n">
        <x:f>IFERROR(Q83/O83,0)</x:f>
        <x:v>0</x:v>
      </x:c>
      <x:c r="AA83" s="12" t="n">
        <x:f>IFERROR(T83/Q83,0)</x:f>
        <x:v>0</x:v>
      </x:c>
      <x:c r="AB83" s="10" t="n">
        <x:f>IFERROR(R83/Q83,0)</x:f>
        <x:v>0</x:v>
      </x:c>
      <x:c r="AC83" s="10" t="n">
        <x:f>IFERROR(U83/R83,0)</x:f>
        <x:v>0</x:v>
      </x:c>
      <x:c r="AD83" s="12" t="n">
        <x:f>IFERROR(R83/U83,0)</x:f>
        <x:v>0</x:v>
      </x:c>
      <x:c r="AE83" s="10" t="n">
        <x:f>IFERROR(U83/Q83,0)</x:f>
        <x:v>0</x:v>
      </x:c>
      <x:c r="AF83" s="10" t="n">
        <x:f>IF(Q83=0,M83,IF(U83=0,IF(Q83&gt;=10,MAX(0.02,M83*0.7),M83),IF(AD83=0,M83,MAX(0.02,IF(AD83&gt;Summary!$B$2,M83*Summary!$B$2/AD83,MIN(M83*1.2,M83*Summary!$B$2/AD83))))))</x:f>
        <x:v>1.67</x:v>
      </x:c>
      <x:c r="AG83" s="11" t="n">
        <x:f>IFERROR(AF83/M83-1,0)</x:f>
        <x:v>0</x:v>
      </x:c>
      <x:c r="AH83" t="str">
        <x:f>IF(Q83=0,"Need clicks",IF(AND(U83=0,Q83&gt;=10),"No sales: lower/pause",IF(AND(AD83&gt;Summary!$B$2,T83&gt;0),"Over target: reduce",IF(AND(AD83&lt;=Summary!$B$2,T83&gt;0),"At/under target: scale/hold",IF(AND(Q83&gt;0,T83=0),"Collect data","Review")))))</x:f>
        <x:v>Need clicks</x:v>
      </x:c>
      <x:c r="AI83" s="10" t="n">
        <x:f>IFERROR(IF(U83=0,R83,MAX(0,R83-(U83*Summary!$B$2))),0)</x:f>
        <x:v>0</x:v>
      </x:c>
      <x:c r="AJ83" t="str">
        <x:f>IF(AH83="No sales: lower/pause","Waste",IF(AH83="Over target: reduce","Inefficient",IF(AH83="At/under target: scale/hold","Efficient",IF(AND(O83&gt;=1000,Q83=0),"High imp/no click","Data gathering"))))</x:f>
        <x:v>Data gathering</x:v>
      </x:c>
    </x:row>
    <x:row r="84">
      <x:c r="A84" t="s">
        <x:v>22</x:v>
      </x:c>
      <x:c r="B84" t="s">
        <x:v>145</x:v>
      </x:c>
      <x:c r="C84" t="s">
        <x:v>22</x:v>
      </x:c>
      <x:c r="D84" t="s">
        <x:v>24</x:v>
      </x:c>
      <x:c r="E84" t="s">
        <x:v>63</x:v>
      </x:c>
      <x:c r="F84" t="s">
        <x:v>26</x:v>
      </x:c>
      <x:c r="G84" t="s">
        <x:v>27</x:v>
      </x:c>
      <x:c r="H84" t="s">
        <x:v>146</x:v>
      </x:c>
      <x:c r="I84">
        <x:v>1</x:v>
      </x:c>
      <x:c r="L84">
        <x:v>0</x:v>
      </x:c>
      <x:c r="M84">
        <x:v>0.75</x:v>
      </x:c>
      <x:c r="N84">
        <x:v>3.72</x:v>
      </x:c>
      <x:c r="O84">
        <x:v>54</x:v>
      </x:c>
      <x:c r="P84" s="1" t="s">
        <x:v>147</x:v>
      </x:c>
      <x:c r="Q84">
        <x:v>0</x:v>
      </x:c>
      <x:c r="R84" s="10">
        <x:v>0</x:v>
      </x:c>
      <x:c r="S84">
        <x:v>0</x:v>
      </x:c>
      <x:c r="T84">
        <x:v>0</x:v>
      </x:c>
      <x:c r="U84" s="10">
        <x:v>0</x:v>
      </x:c>
      <x:c r="W84" s="11" t="n">
        <x:f>Summary!$B$2</x:f>
        <x:v>0.15</x:v>
      </x:c>
      <x:c r="X84" s="11" t="n">
        <x:f>IFERROR(AD84-Summary!$B$2,"")</x:f>
        <x:v>-0.15</x:v>
      </x:c>
      <x:c r="Y84" s="10" t="str">
        <x:f>IFERROR((U84/Q84)*Summary!$B$2,"")</x:f>
      </x:c>
      <x:c r="Z84" s="12" t="n">
        <x:f>IFERROR(Q84/O84,0)</x:f>
        <x:v>0</x:v>
      </x:c>
      <x:c r="AA84" s="12" t="n">
        <x:f>IFERROR(T84/Q84,0)</x:f>
        <x:v>0</x:v>
      </x:c>
      <x:c r="AB84" s="10" t="n">
        <x:f>IFERROR(R84/Q84,0)</x:f>
        <x:v>0</x:v>
      </x:c>
      <x:c r="AC84" s="10" t="n">
        <x:f>IFERROR(U84/R84,0)</x:f>
        <x:v>0</x:v>
      </x:c>
      <x:c r="AD84" s="12" t="n">
        <x:f>IFERROR(R84/U84,0)</x:f>
        <x:v>0</x:v>
      </x:c>
      <x:c r="AE84" s="10" t="n">
        <x:f>IFERROR(U84/Q84,0)</x:f>
        <x:v>0</x:v>
      </x:c>
      <x:c r="AF84" s="10" t="n">
        <x:f>IF(Q84=0,M84,IF(U84=0,IF(Q84&gt;=10,MAX(0.02,M84*0.7),M84),IF(AD84=0,M84,MAX(0.02,IF(AD84&gt;Summary!$B$2,M84*Summary!$B$2/AD84,MIN(M84*1.2,M84*Summary!$B$2/AD84))))))</x:f>
        <x:v>0.75</x:v>
      </x:c>
      <x:c r="AG84" s="11" t="n">
        <x:f>IFERROR(AF84/M84-1,0)</x:f>
        <x:v>0</x:v>
      </x:c>
      <x:c r="AH84" t="str">
        <x:f>IF(Q84=0,"Need clicks",IF(AND(U84=0,Q84&gt;=10),"No sales: lower/pause",IF(AND(AD84&gt;Summary!$B$2,T84&gt;0),"Over target: reduce",IF(AND(AD84&lt;=Summary!$B$2,T84&gt;0),"At/under target: scale/hold",IF(AND(Q84&gt;0,T84=0),"Collect data","Review")))))</x:f>
        <x:v>Need clicks</x:v>
      </x:c>
      <x:c r="AI84" s="10" t="n">
        <x:f>IFERROR(IF(U84=0,R84,MAX(0,R84-(U84*Summary!$B$2))),0)</x:f>
        <x:v>0</x:v>
      </x:c>
      <x:c r="AJ84" t="str">
        <x:f>IF(AH84="No sales: lower/pause","Waste",IF(AH84="Over target: reduce","Inefficient",IF(AH84="At/under target: scale/hold","Efficient",IF(AND(O84&gt;=1000,Q84=0),"High imp/no click","Data gathering"))))</x:f>
        <x:v>Data gathering</x:v>
      </x:c>
    </x:row>
    <x:row r="85">
      <x:c r="A85" t="s">
        <x:v>22</x:v>
      </x:c>
      <x:c r="B85" t="s">
        <x:v>148</x:v>
      </x:c>
      <x:c r="C85" t="s">
        <x:v>22</x:v>
      </x:c>
      <x:c r="D85" t="s">
        <x:v>24</x:v>
      </x:c>
      <x:c r="E85" t="s">
        <x:v>63</x:v>
      </x:c>
      <x:c r="F85" t="s">
        <x:v>26</x:v>
      </x:c>
      <x:c r="G85" t="s">
        <x:v>27</x:v>
      </x:c>
      <x:c r="H85" t="s">
        <x:v>146</x:v>
      </x:c>
      <x:c r="I85">
        <x:v>1</x:v>
      </x:c>
      <x:c r="L85">
        <x:v>0</x:v>
      </x:c>
      <x:c r="M85">
        <x:v>0.86</x:v>
      </x:c>
      <x:c r="N85">
        <x:v>3.78</x:v>
      </x:c>
      <x:c r="O85">
        <x:v>7</x:v>
      </x:c>
      <x:c r="P85">
        <x:v>0</x:v>
      </x:c>
      <x:c r="Q85">
        <x:v>0</x:v>
      </x:c>
      <x:c r="R85" s="10">
        <x:v>0</x:v>
      </x:c>
      <x:c r="S85">
        <x:v>0</x:v>
      </x:c>
      <x:c r="T85">
        <x:v>0</x:v>
      </x:c>
      <x:c r="U85" s="10">
        <x:v>0</x:v>
      </x:c>
      <x:c r="W85" s="11" t="n">
        <x:f>Summary!$B$2</x:f>
        <x:v>0.15</x:v>
      </x:c>
      <x:c r="X85" s="11" t="n">
        <x:f>IFERROR(AD85-Summary!$B$2,"")</x:f>
        <x:v>-0.15</x:v>
      </x:c>
      <x:c r="Y85" s="10" t="str">
        <x:f>IFERROR((U85/Q85)*Summary!$B$2,"")</x:f>
      </x:c>
      <x:c r="Z85" s="12" t="n">
        <x:f>IFERROR(Q85/O85,0)</x:f>
        <x:v>0</x:v>
      </x:c>
      <x:c r="AA85" s="12" t="n">
        <x:f>IFERROR(T85/Q85,0)</x:f>
        <x:v>0</x:v>
      </x:c>
      <x:c r="AB85" s="10" t="n">
        <x:f>IFERROR(R85/Q85,0)</x:f>
        <x:v>0</x:v>
      </x:c>
      <x:c r="AC85" s="10" t="n">
        <x:f>IFERROR(U85/R85,0)</x:f>
        <x:v>0</x:v>
      </x:c>
      <x:c r="AD85" s="12" t="n">
        <x:f>IFERROR(R85/U85,0)</x:f>
        <x:v>0</x:v>
      </x:c>
      <x:c r="AE85" s="10" t="n">
        <x:f>IFERROR(U85/Q85,0)</x:f>
        <x:v>0</x:v>
      </x:c>
      <x:c r="AF85" s="10" t="n">
        <x:f>IF(Q85=0,M85,IF(U85=0,IF(Q85&gt;=10,MAX(0.02,M85*0.7),M85),IF(AD85=0,M85,MAX(0.02,IF(AD85&gt;Summary!$B$2,M85*Summary!$B$2/AD85,MIN(M85*1.2,M85*Summary!$B$2/AD85))))))</x:f>
        <x:v>0.86</x:v>
      </x:c>
      <x:c r="AG85" s="11" t="n">
        <x:f>IFERROR(AF85/M85-1,0)</x:f>
        <x:v>0</x:v>
      </x:c>
      <x:c r="AH85" t="str">
        <x:f>IF(Q85=0,"Need clicks",IF(AND(U85=0,Q85&gt;=10),"No sales: lower/pause",IF(AND(AD85&gt;Summary!$B$2,T85&gt;0),"Over target: reduce",IF(AND(AD85&lt;=Summary!$B$2,T85&gt;0),"At/under target: scale/hold",IF(AND(Q85&gt;0,T85=0),"Collect data","Review")))))</x:f>
        <x:v>Need clicks</x:v>
      </x:c>
      <x:c r="AI85" s="10" t="n">
        <x:f>IFERROR(IF(U85=0,R85,MAX(0,R85-(U85*Summary!$B$2))),0)</x:f>
        <x:v>0</x:v>
      </x:c>
      <x:c r="AJ85" t="str">
        <x:f>IF(AH85="No sales: lower/pause","Waste",IF(AH85="Over target: reduce","Inefficient",IF(AH85="At/under target: scale/hold","Efficient",IF(AND(O85&gt;=1000,Q85=0),"High imp/no click","Data gathering"))))</x:f>
        <x:v>Data gathering</x:v>
      </x:c>
    </x:row>
    <x:row r="86">
      <x:c r="A86" t="s">
        <x:v>22</x:v>
      </x:c>
      <x:c r="B86" t="s">
        <x:v>149</x:v>
      </x:c>
      <x:c r="C86" t="s">
        <x:v>22</x:v>
      </x:c>
      <x:c r="D86" t="s">
        <x:v>24</x:v>
      </x:c>
      <x:c r="E86" t="s">
        <x:v>63</x:v>
      </x:c>
      <x:c r="F86" t="s">
        <x:v>26</x:v>
      </x:c>
      <x:c r="G86" t="s">
        <x:v>27</x:v>
      </x:c>
      <x:c r="H86" t="s">
        <x:v>146</x:v>
      </x:c>
      <x:c r="I86">
        <x:v>1</x:v>
      </x:c>
      <x:c r="L86">
        <x:v>0</x:v>
      </x:c>
      <x:c r="M86">
        <x:v>0.86</x:v>
      </x:c>
      <x:c r="N86">
        <x:v>5.58</x:v>
      </x:c>
      <x:c r="O86">
        <x:v>134</x:v>
      </x:c>
      <x:c r="P86" s="1" t="s">
        <x:v>150</x:v>
      </x:c>
      <x:c r="Q86">
        <x:v>0</x:v>
      </x:c>
      <x:c r="R86" s="10">
        <x:v>0</x:v>
      </x:c>
      <x:c r="S86">
        <x:v>0</x:v>
      </x:c>
      <x:c r="T86">
        <x:v>0</x:v>
      </x:c>
      <x:c r="U86" s="10">
        <x:v>0</x:v>
      </x:c>
      <x:c r="W86" s="11" t="n">
        <x:f>Summary!$B$2</x:f>
        <x:v>0.15</x:v>
      </x:c>
      <x:c r="X86" s="11" t="n">
        <x:f>IFERROR(AD86-Summary!$B$2,"")</x:f>
        <x:v>-0.15</x:v>
      </x:c>
      <x:c r="Y86" s="10" t="str">
        <x:f>IFERROR((U86/Q86)*Summary!$B$2,"")</x:f>
      </x:c>
      <x:c r="Z86" s="12" t="n">
        <x:f>IFERROR(Q86/O86,0)</x:f>
        <x:v>0</x:v>
      </x:c>
      <x:c r="AA86" s="12" t="n">
        <x:f>IFERROR(T86/Q86,0)</x:f>
        <x:v>0</x:v>
      </x:c>
      <x:c r="AB86" s="10" t="n">
        <x:f>IFERROR(R86/Q86,0)</x:f>
        <x:v>0</x:v>
      </x:c>
      <x:c r="AC86" s="10" t="n">
        <x:f>IFERROR(U86/R86,0)</x:f>
        <x:v>0</x:v>
      </x:c>
      <x:c r="AD86" s="12" t="n">
        <x:f>IFERROR(R86/U86,0)</x:f>
        <x:v>0</x:v>
      </x:c>
      <x:c r="AE86" s="10" t="n">
        <x:f>IFERROR(U86/Q86,0)</x:f>
        <x:v>0</x:v>
      </x:c>
      <x:c r="AF86" s="10" t="n">
        <x:f>IF(Q86=0,M86,IF(U86=0,IF(Q86&gt;=10,MAX(0.02,M86*0.7),M86),IF(AD86=0,M86,MAX(0.02,IF(AD86&gt;Summary!$B$2,M86*Summary!$B$2/AD86,MIN(M86*1.2,M86*Summary!$B$2/AD86))))))</x:f>
        <x:v>0.86</x:v>
      </x:c>
      <x:c r="AG86" s="11" t="n">
        <x:f>IFERROR(AF86/M86-1,0)</x:f>
        <x:v>0</x:v>
      </x:c>
      <x:c r="AH86" t="str">
        <x:f>IF(Q86=0,"Need clicks",IF(AND(U86=0,Q86&gt;=10),"No sales: lower/pause",IF(AND(AD86&gt;Summary!$B$2,T86&gt;0),"Over target: reduce",IF(AND(AD86&lt;=Summary!$B$2,T86&gt;0),"At/under target: scale/hold",IF(AND(Q86&gt;0,T86=0),"Collect data","Review")))))</x:f>
        <x:v>Need clicks</x:v>
      </x:c>
      <x:c r="AI86" s="10" t="n">
        <x:f>IFERROR(IF(U86=0,R86,MAX(0,R86-(U86*Summary!$B$2))),0)</x:f>
        <x:v>0</x:v>
      </x:c>
      <x:c r="AJ86" t="str">
        <x:f>IF(AH86="No sales: lower/pause","Waste",IF(AH86="Over target: reduce","Inefficient",IF(AH86="At/under target: scale/hold","Efficient",IF(AND(O86&gt;=1000,Q86=0),"High imp/no click","Data gathering"))))</x:f>
        <x:v>Data gathering</x:v>
      </x:c>
    </x:row>
    <x:row r="87">
      <x:c r="A87" t="s">
        <x:v>22</x:v>
      </x:c>
      <x:c r="B87" t="s">
        <x:v>70</x:v>
      </x:c>
      <x:c r="C87" t="s">
        <x:v>22</x:v>
      </x:c>
      <x:c r="D87" t="s">
        <x:v>24</x:v>
      </x:c>
      <x:c r="E87" t="s">
        <x:v>63</x:v>
      </x:c>
      <x:c r="F87" t="s">
        <x:v>26</x:v>
      </x:c>
      <x:c r="G87" t="s">
        <x:v>27</x:v>
      </x:c>
      <x:c r="H87" t="s">
        <x:v>146</x:v>
      </x:c>
      <x:c r="I87">
        <x:v>1</x:v>
      </x:c>
      <x:c r="L87">
        <x:v>0</x:v>
      </x:c>
      <x:c r="M87">
        <x:v>0.86</x:v>
      </x:c>
      <x:c r="N87">
        <x:v>1.32</x:v>
      </x:c>
      <x:c r="O87">
        <x:v>19</x:v>
      </x:c>
      <x:c r="P87">
        <x:v>0</x:v>
      </x:c>
      <x:c r="Q87">
        <x:v>0</x:v>
      </x:c>
      <x:c r="R87" s="10">
        <x:v>0</x:v>
      </x:c>
      <x:c r="S87">
        <x:v>0</x:v>
      </x:c>
      <x:c r="T87">
        <x:v>0</x:v>
      </x:c>
      <x:c r="U87" s="10">
        <x:v>0</x:v>
      </x:c>
      <x:c r="W87" s="11" t="n">
        <x:f>Summary!$B$2</x:f>
        <x:v>0.15</x:v>
      </x:c>
      <x:c r="X87" s="11" t="n">
        <x:f>IFERROR(AD87-Summary!$B$2,"")</x:f>
        <x:v>-0.15</x:v>
      </x:c>
      <x:c r="Y87" s="10" t="str">
        <x:f>IFERROR((U87/Q87)*Summary!$B$2,"")</x:f>
      </x:c>
      <x:c r="Z87" s="12" t="n">
        <x:f>IFERROR(Q87/O87,0)</x:f>
        <x:v>0</x:v>
      </x:c>
      <x:c r="AA87" s="12" t="n">
        <x:f>IFERROR(T87/Q87,0)</x:f>
        <x:v>0</x:v>
      </x:c>
      <x:c r="AB87" s="10" t="n">
        <x:f>IFERROR(R87/Q87,0)</x:f>
        <x:v>0</x:v>
      </x:c>
      <x:c r="AC87" s="10" t="n">
        <x:f>IFERROR(U87/R87,0)</x:f>
        <x:v>0</x:v>
      </x:c>
      <x:c r="AD87" s="12" t="n">
        <x:f>IFERROR(R87/U87,0)</x:f>
        <x:v>0</x:v>
      </x:c>
      <x:c r="AE87" s="10" t="n">
        <x:f>IFERROR(U87/Q87,0)</x:f>
        <x:v>0</x:v>
      </x:c>
      <x:c r="AF87" s="10" t="n">
        <x:f>IF(Q87=0,M87,IF(U87=0,IF(Q87&gt;=10,MAX(0.02,M87*0.7),M87),IF(AD87=0,M87,MAX(0.02,IF(AD87&gt;Summary!$B$2,M87*Summary!$B$2/AD87,MIN(M87*1.2,M87*Summary!$B$2/AD87))))))</x:f>
        <x:v>0.86</x:v>
      </x:c>
      <x:c r="AG87" s="11" t="n">
        <x:f>IFERROR(AF87/M87-1,0)</x:f>
        <x:v>0</x:v>
      </x:c>
      <x:c r="AH87" t="str">
        <x:f>IF(Q87=0,"Need clicks",IF(AND(U87=0,Q87&gt;=10),"No sales: lower/pause",IF(AND(AD87&gt;Summary!$B$2,T87&gt;0),"Over target: reduce",IF(AND(AD87&lt;=Summary!$B$2,T87&gt;0),"At/under target: scale/hold",IF(AND(Q87&gt;0,T87=0),"Collect data","Review")))))</x:f>
        <x:v>Need clicks</x:v>
      </x:c>
      <x:c r="AI87" s="10" t="n">
        <x:f>IFERROR(IF(U87=0,R87,MAX(0,R87-(U87*Summary!$B$2))),0)</x:f>
        <x:v>0</x:v>
      </x:c>
      <x:c r="AJ87" t="str">
        <x:f>IF(AH87="No sales: lower/pause","Waste",IF(AH87="Over target: reduce","Inefficient",IF(AH87="At/under target: scale/hold","Efficient",IF(AND(O87&gt;=1000,Q87=0),"High imp/no click","Data gathering"))))</x:f>
        <x:v>Data gathering</x:v>
      </x:c>
    </x:row>
    <x:row r="88">
      <x:c r="A88" t="s">
        <x:v>22</x:v>
      </x:c>
      <x:c r="B88" t="s">
        <x:v>151</x:v>
      </x:c>
      <x:c r="C88" t="s">
        <x:v>22</x:v>
      </x:c>
      <x:c r="D88" t="s">
        <x:v>24</x:v>
      </x:c>
      <x:c r="E88" t="s">
        <x:v>63</x:v>
      </x:c>
      <x:c r="F88" t="s">
        <x:v>26</x:v>
      </x:c>
      <x:c r="G88" t="s">
        <x:v>27</x:v>
      </x:c>
      <x:c r="H88" t="s">
        <x:v>146</x:v>
      </x:c>
      <x:c r="I88">
        <x:v>1</x:v>
      </x:c>
      <x:c r="L88">
        <x:v>0</x:v>
      </x:c>
      <x:c r="M88">
        <x:v>1.38</x:v>
      </x:c>
      <x:c r="N88">
        <x:v>2.76</x:v>
      </x:c>
      <x:c r="O88">
        <x:v>12</x:v>
      </x:c>
      <x:c r="P88" s="1" t="s">
        <x:v>152</x:v>
      </x:c>
      <x:c r="Q88">
        <x:v>0</x:v>
      </x:c>
      <x:c r="R88" s="10">
        <x:v>0</x:v>
      </x:c>
      <x:c r="S88">
        <x:v>0</x:v>
      </x:c>
      <x:c r="T88">
        <x:v>0</x:v>
      </x:c>
      <x:c r="U88" s="10">
        <x:v>0</x:v>
      </x:c>
      <x:c r="W88" s="11" t="n">
        <x:f>Summary!$B$2</x:f>
        <x:v>0.15</x:v>
      </x:c>
      <x:c r="X88" s="11" t="n">
        <x:f>IFERROR(AD88-Summary!$B$2,"")</x:f>
        <x:v>-0.15</x:v>
      </x:c>
      <x:c r="Y88" s="10" t="str">
        <x:f>IFERROR((U88/Q88)*Summary!$B$2,"")</x:f>
      </x:c>
      <x:c r="Z88" s="12" t="n">
        <x:f>IFERROR(Q88/O88,0)</x:f>
        <x:v>0</x:v>
      </x:c>
      <x:c r="AA88" s="12" t="n">
        <x:f>IFERROR(T88/Q88,0)</x:f>
        <x:v>0</x:v>
      </x:c>
      <x:c r="AB88" s="10" t="n">
        <x:f>IFERROR(R88/Q88,0)</x:f>
        <x:v>0</x:v>
      </x:c>
      <x:c r="AC88" s="10" t="n">
        <x:f>IFERROR(U88/R88,0)</x:f>
        <x:v>0</x:v>
      </x:c>
      <x:c r="AD88" s="12" t="n">
        <x:f>IFERROR(R88/U88,0)</x:f>
        <x:v>0</x:v>
      </x:c>
      <x:c r="AE88" s="10" t="n">
        <x:f>IFERROR(U88/Q88,0)</x:f>
        <x:v>0</x:v>
      </x:c>
      <x:c r="AF88" s="10" t="n">
        <x:f>IF(Q88=0,M88,IF(U88=0,IF(Q88&gt;=10,MAX(0.02,M88*0.7),M88),IF(AD88=0,M88,MAX(0.02,IF(AD88&gt;Summary!$B$2,M88*Summary!$B$2/AD88,MIN(M88*1.2,M88*Summary!$B$2/AD88))))))</x:f>
        <x:v>1.38</x:v>
      </x:c>
      <x:c r="AG88" s="11" t="n">
        <x:f>IFERROR(AF88/M88-1,0)</x:f>
        <x:v>0</x:v>
      </x:c>
      <x:c r="AH88" t="str">
        <x:f>IF(Q88=0,"Need clicks",IF(AND(U88=0,Q88&gt;=10),"No sales: lower/pause",IF(AND(AD88&gt;Summary!$B$2,T88&gt;0),"Over target: reduce",IF(AND(AD88&lt;=Summary!$B$2,T88&gt;0),"At/under target: scale/hold",IF(AND(Q88&gt;0,T88=0),"Collect data","Review")))))</x:f>
        <x:v>Need clicks</x:v>
      </x:c>
      <x:c r="AI88" s="10" t="n">
        <x:f>IFERROR(IF(U88=0,R88,MAX(0,R88-(U88*Summary!$B$2))),0)</x:f>
        <x:v>0</x:v>
      </x:c>
      <x:c r="AJ88" t="str">
        <x:f>IF(AH88="No sales: lower/pause","Waste",IF(AH88="Over target: reduce","Inefficient",IF(AH88="At/under target: scale/hold","Efficient",IF(AND(O88&gt;=1000,Q88=0),"High imp/no click","Data gathering"))))</x:f>
        <x:v>Data gathering</x:v>
      </x:c>
    </x:row>
    <x:row r="89">
      <x:c r="A89" t="s">
        <x:v>22</x:v>
      </x:c>
      <x:c r="B89" t="s">
        <x:v>153</x:v>
      </x:c>
      <x:c r="C89" t="s">
        <x:v>22</x:v>
      </x:c>
      <x:c r="D89" t="s">
        <x:v>24</x:v>
      </x:c>
      <x:c r="E89" t="s">
        <x:v>63</x:v>
      </x:c>
      <x:c r="F89" t="s">
        <x:v>26</x:v>
      </x:c>
      <x:c r="G89" t="s">
        <x:v>27</x:v>
      </x:c>
      <x:c r="H89" t="s">
        <x:v>146</x:v>
      </x:c>
      <x:c r="I89">
        <x:v>1</x:v>
      </x:c>
      <x:c r="L89">
        <x:v>0</x:v>
      </x:c>
      <x:c r="M89">
        <x:v>1.36</x:v>
      </x:c>
      <x:c r="N89">
        <x:v>1.2</x:v>
      </x:c>
      <x:c r="O89">
        <x:v>58</x:v>
      </x:c>
      <x:c r="P89">
        <x:v>0</x:v>
      </x:c>
      <x:c r="Q89">
        <x:v>0</x:v>
      </x:c>
      <x:c r="R89" s="10">
        <x:v>0</x:v>
      </x:c>
      <x:c r="S89">
        <x:v>0</x:v>
      </x:c>
      <x:c r="T89">
        <x:v>0</x:v>
      </x:c>
      <x:c r="U89" s="10">
        <x:v>0</x:v>
      </x:c>
      <x:c r="W89" s="11" t="n">
        <x:f>Summary!$B$2</x:f>
        <x:v>0.15</x:v>
      </x:c>
      <x:c r="X89" s="11" t="n">
        <x:f>IFERROR(AD89-Summary!$B$2,"")</x:f>
        <x:v>-0.15</x:v>
      </x:c>
      <x:c r="Y89" s="10" t="str">
        <x:f>IFERROR((U89/Q89)*Summary!$B$2,"")</x:f>
      </x:c>
      <x:c r="Z89" s="12" t="n">
        <x:f>IFERROR(Q89/O89,0)</x:f>
        <x:v>0</x:v>
      </x:c>
      <x:c r="AA89" s="12" t="n">
        <x:f>IFERROR(T89/Q89,0)</x:f>
        <x:v>0</x:v>
      </x:c>
      <x:c r="AB89" s="10" t="n">
        <x:f>IFERROR(R89/Q89,0)</x:f>
        <x:v>0</x:v>
      </x:c>
      <x:c r="AC89" s="10" t="n">
        <x:f>IFERROR(U89/R89,0)</x:f>
        <x:v>0</x:v>
      </x:c>
      <x:c r="AD89" s="12" t="n">
        <x:f>IFERROR(R89/U89,0)</x:f>
        <x:v>0</x:v>
      </x:c>
      <x:c r="AE89" s="10" t="n">
        <x:f>IFERROR(U89/Q89,0)</x:f>
        <x:v>0</x:v>
      </x:c>
      <x:c r="AF89" s="10" t="n">
        <x:f>IF(Q89=0,M89,IF(U89=0,IF(Q89&gt;=10,MAX(0.02,M89*0.7),M89),IF(AD89=0,M89,MAX(0.02,IF(AD89&gt;Summary!$B$2,M89*Summary!$B$2/AD89,MIN(M89*1.2,M89*Summary!$B$2/AD89))))))</x:f>
        <x:v>1.36</x:v>
      </x:c>
      <x:c r="AG89" s="11" t="n">
        <x:f>IFERROR(AF89/M89-1,0)</x:f>
        <x:v>0</x:v>
      </x:c>
      <x:c r="AH89" t="str">
        <x:f>IF(Q89=0,"Need clicks",IF(AND(U89=0,Q89&gt;=10),"No sales: lower/pause",IF(AND(AD89&gt;Summary!$B$2,T89&gt;0),"Over target: reduce",IF(AND(AD89&lt;=Summary!$B$2,T89&gt;0),"At/under target: scale/hold",IF(AND(Q89&gt;0,T89=0),"Collect data","Review")))))</x:f>
        <x:v>Need clicks</x:v>
      </x:c>
      <x:c r="AI89" s="10" t="n">
        <x:f>IFERROR(IF(U89=0,R89,MAX(0,R89-(U89*Summary!$B$2))),0)</x:f>
        <x:v>0</x:v>
      </x:c>
      <x:c r="AJ89" t="str">
        <x:f>IF(AH89="No sales: lower/pause","Waste",IF(AH89="Over target: reduce","Inefficient",IF(AH89="At/under target: scale/hold","Efficient",IF(AND(O89&gt;=1000,Q89=0),"High imp/no click","Data gathering"))))</x:f>
        <x:v>Data gathering</x:v>
      </x:c>
    </x:row>
    <x:row r="90">
      <x:c r="A90" t="s">
        <x:v>22</x:v>
      </x:c>
      <x:c r="B90" t="s">
        <x:v>154</x:v>
      </x:c>
      <x:c r="C90" t="s">
        <x:v>22</x:v>
      </x:c>
      <x:c r="D90" t="s">
        <x:v>24</x:v>
      </x:c>
      <x:c r="E90" t="s">
        <x:v>63</x:v>
      </x:c>
      <x:c r="F90" t="s">
        <x:v>26</x:v>
      </x:c>
      <x:c r="G90" t="s">
        <x:v>27</x:v>
      </x:c>
      <x:c r="H90" t="s">
        <x:v>146</x:v>
      </x:c>
      <x:c r="I90">
        <x:v>1</x:v>
      </x:c>
      <x:c r="L90">
        <x:v>0</x:v>
      </x:c>
      <x:c r="M90">
        <x:v>0.86</x:v>
      </x:c>
      <x:c r="N90">
        <x:v>3.7</x:v>
      </x:c>
      <x:c r="O90">
        <x:v>28</x:v>
      </x:c>
      <x:c r="P90">
        <x:v>2.1896211955331701E-2</x:v>
      </x:c>
      <x:c r="Q90">
        <x:v>0</x:v>
      </x:c>
      <x:c r="R90" s="10">
        <x:v>0</x:v>
      </x:c>
      <x:c r="S90">
        <x:v>0</x:v>
      </x:c>
      <x:c r="T90">
        <x:v>0</x:v>
      </x:c>
      <x:c r="U90" s="10">
        <x:v>0</x:v>
      </x:c>
      <x:c r="W90" s="11" t="n">
        <x:f>Summary!$B$2</x:f>
        <x:v>0.15</x:v>
      </x:c>
      <x:c r="X90" s="11" t="n">
        <x:f>IFERROR(AD90-Summary!$B$2,"")</x:f>
        <x:v>-0.15</x:v>
      </x:c>
      <x:c r="Y90" s="10" t="str">
        <x:f>IFERROR((U90/Q90)*Summary!$B$2,"")</x:f>
      </x:c>
      <x:c r="Z90" s="12" t="n">
        <x:f>IFERROR(Q90/O90,0)</x:f>
        <x:v>0</x:v>
      </x:c>
      <x:c r="AA90" s="12" t="n">
        <x:f>IFERROR(T90/Q90,0)</x:f>
        <x:v>0</x:v>
      </x:c>
      <x:c r="AB90" s="10" t="n">
        <x:f>IFERROR(R90/Q90,0)</x:f>
        <x:v>0</x:v>
      </x:c>
      <x:c r="AC90" s="10" t="n">
        <x:f>IFERROR(U90/R90,0)</x:f>
        <x:v>0</x:v>
      </x:c>
      <x:c r="AD90" s="12" t="n">
        <x:f>IFERROR(R90/U90,0)</x:f>
        <x:v>0</x:v>
      </x:c>
      <x:c r="AE90" s="10" t="n">
        <x:f>IFERROR(U90/Q90,0)</x:f>
        <x:v>0</x:v>
      </x:c>
      <x:c r="AF90" s="10" t="n">
        <x:f>IF(Q90=0,M90,IF(U90=0,IF(Q90&gt;=10,MAX(0.02,M90*0.7),M90),IF(AD90=0,M90,MAX(0.02,IF(AD90&gt;Summary!$B$2,M90*Summary!$B$2/AD90,MIN(M90*1.2,M90*Summary!$B$2/AD90))))))</x:f>
        <x:v>0.86</x:v>
      </x:c>
      <x:c r="AG90" s="11" t="n">
        <x:f>IFERROR(AF90/M90-1,0)</x:f>
        <x:v>0</x:v>
      </x:c>
      <x:c r="AH90" t="str">
        <x:f>IF(Q90=0,"Need clicks",IF(AND(U90=0,Q90&gt;=10),"No sales: lower/pause",IF(AND(AD90&gt;Summary!$B$2,T90&gt;0),"Over target: reduce",IF(AND(AD90&lt;=Summary!$B$2,T90&gt;0),"At/under target: scale/hold",IF(AND(Q90&gt;0,T90=0),"Collect data","Review")))))</x:f>
        <x:v>Need clicks</x:v>
      </x:c>
      <x:c r="AI90" s="10" t="n">
        <x:f>IFERROR(IF(U90=0,R90,MAX(0,R90-(U90*Summary!$B$2))),0)</x:f>
        <x:v>0</x:v>
      </x:c>
      <x:c r="AJ90" t="str">
        <x:f>IF(AH90="No sales: lower/pause","Waste",IF(AH90="Over target: reduce","Inefficient",IF(AH90="At/under target: scale/hold","Efficient",IF(AND(O90&gt;=1000,Q90=0),"High imp/no click","Data gathering"))))</x:f>
        <x:v>Data gathering</x:v>
      </x:c>
    </x:row>
    <x:row r="91">
      <x:c r="A91" t="s">
        <x:v>22</x:v>
      </x:c>
      <x:c r="B91" t="s">
        <x:v>155</x:v>
      </x:c>
      <x:c r="C91" t="s">
        <x:v>22</x:v>
      </x:c>
      <x:c r="D91" t="s">
        <x:v>24</x:v>
      </x:c>
      <x:c r="E91" t="s">
        <x:v>63</x:v>
      </x:c>
      <x:c r="F91" t="s">
        <x:v>26</x:v>
      </x:c>
      <x:c r="G91" t="s">
        <x:v>27</x:v>
      </x:c>
      <x:c r="H91" t="s">
        <x:v>146</x:v>
      </x:c>
      <x:c r="I91">
        <x:v>1</x:v>
      </x:c>
      <x:c r="L91">
        <x:v>0</x:v>
      </x:c>
      <x:c r="M91">
        <x:v>0.86</x:v>
      </x:c>
      <x:c r="N91">
        <x:v>2.56</x:v>
      </x:c>
      <x:c r="O91">
        <x:v>8</x:v>
      </x:c>
      <x:c r="P91" s="1" t="s">
        <x:v>156</x:v>
      </x:c>
      <x:c r="Q91">
        <x:v>0</x:v>
      </x:c>
      <x:c r="R91" s="10">
        <x:v>0</x:v>
      </x:c>
      <x:c r="S91">
        <x:v>0</x:v>
      </x:c>
      <x:c r="T91">
        <x:v>0</x:v>
      </x:c>
      <x:c r="U91" s="10">
        <x:v>0</x:v>
      </x:c>
      <x:c r="W91" s="11" t="n">
        <x:f>Summary!$B$2</x:f>
        <x:v>0.15</x:v>
      </x:c>
      <x:c r="X91" s="11" t="n">
        <x:f>IFERROR(AD91-Summary!$B$2,"")</x:f>
        <x:v>-0.15</x:v>
      </x:c>
      <x:c r="Y91" s="10" t="str">
        <x:f>IFERROR((U91/Q91)*Summary!$B$2,"")</x:f>
      </x:c>
      <x:c r="Z91" s="12" t="n">
        <x:f>IFERROR(Q91/O91,0)</x:f>
        <x:v>0</x:v>
      </x:c>
      <x:c r="AA91" s="12" t="n">
        <x:f>IFERROR(T91/Q91,0)</x:f>
        <x:v>0</x:v>
      </x:c>
      <x:c r="AB91" s="10" t="n">
        <x:f>IFERROR(R91/Q91,0)</x:f>
        <x:v>0</x:v>
      </x:c>
      <x:c r="AC91" s="10" t="n">
        <x:f>IFERROR(U91/R91,0)</x:f>
        <x:v>0</x:v>
      </x:c>
      <x:c r="AD91" s="12" t="n">
        <x:f>IFERROR(R91/U91,0)</x:f>
        <x:v>0</x:v>
      </x:c>
      <x:c r="AE91" s="10" t="n">
        <x:f>IFERROR(U91/Q91,0)</x:f>
        <x:v>0</x:v>
      </x:c>
      <x:c r="AF91" s="10" t="n">
        <x:f>IF(Q91=0,M91,IF(U91=0,IF(Q91&gt;=10,MAX(0.02,M91*0.7),M91),IF(AD91=0,M91,MAX(0.02,IF(AD91&gt;Summary!$B$2,M91*Summary!$B$2/AD91,MIN(M91*1.2,M91*Summary!$B$2/AD91))))))</x:f>
        <x:v>0.86</x:v>
      </x:c>
      <x:c r="AG91" s="11" t="n">
        <x:f>IFERROR(AF91/M91-1,0)</x:f>
        <x:v>0</x:v>
      </x:c>
      <x:c r="AH91" t="str">
        <x:f>IF(Q91=0,"Need clicks",IF(AND(U91=0,Q91&gt;=10),"No sales: lower/pause",IF(AND(AD91&gt;Summary!$B$2,T91&gt;0),"Over target: reduce",IF(AND(AD91&lt;=Summary!$B$2,T91&gt;0),"At/under target: scale/hold",IF(AND(Q91&gt;0,T91=0),"Collect data","Review")))))</x:f>
        <x:v>Need clicks</x:v>
      </x:c>
      <x:c r="AI91" s="10" t="n">
        <x:f>IFERROR(IF(U91=0,R91,MAX(0,R91-(U91*Summary!$B$2))),0)</x:f>
        <x:v>0</x:v>
      </x:c>
      <x:c r="AJ91" t="str">
        <x:f>IF(AH91="No sales: lower/pause","Waste",IF(AH91="Over target: reduce","Inefficient",IF(AH91="At/under target: scale/hold","Efficient",IF(AND(O91&gt;=1000,Q91=0),"High imp/no click","Data gathering"))))</x:f>
        <x:v>Data gathering</x:v>
      </x:c>
    </x:row>
    <x:row r="92">
      <x:c r="A92" t="s">
        <x:v>22</x:v>
      </x:c>
      <x:c r="B92" t="s">
        <x:v>157</x:v>
      </x:c>
      <x:c r="C92" t="s">
        <x:v>22</x:v>
      </x:c>
      <x:c r="D92" t="s">
        <x:v>24</x:v>
      </x:c>
      <x:c r="E92" t="s">
        <x:v>63</x:v>
      </x:c>
      <x:c r="F92" t="s">
        <x:v>26</x:v>
      </x:c>
      <x:c r="G92" t="s">
        <x:v>27</x:v>
      </x:c>
      <x:c r="H92" t="s">
        <x:v>146</x:v>
      </x:c>
      <x:c r="I92">
        <x:v>1</x:v>
      </x:c>
      <x:c r="L92">
        <x:v>0</x:v>
      </x:c>
      <x:c r="M92">
        <x:v>0.86</x:v>
      </x:c>
      <x:c r="N92">
        <x:v>6.17</x:v>
      </x:c>
      <x:c r="O92">
        <x:v>34</x:v>
      </x:c>
      <x:c r="P92" s="1" t="s">
        <x:v>158</x:v>
      </x:c>
      <x:c r="Q92">
        <x:v>0</x:v>
      </x:c>
      <x:c r="R92" s="10">
        <x:v>0</x:v>
      </x:c>
      <x:c r="S92">
        <x:v>0</x:v>
      </x:c>
      <x:c r="T92">
        <x:v>0</x:v>
      </x:c>
      <x:c r="U92" s="10">
        <x:v>0</x:v>
      </x:c>
      <x:c r="W92" s="11" t="n">
        <x:f>Summary!$B$2</x:f>
        <x:v>0.15</x:v>
      </x:c>
      <x:c r="X92" s="11" t="n">
        <x:f>IFERROR(AD92-Summary!$B$2,"")</x:f>
        <x:v>-0.15</x:v>
      </x:c>
      <x:c r="Y92" s="10" t="str">
        <x:f>IFERROR((U92/Q92)*Summary!$B$2,"")</x:f>
      </x:c>
      <x:c r="Z92" s="12" t="n">
        <x:f>IFERROR(Q92/O92,0)</x:f>
        <x:v>0</x:v>
      </x:c>
      <x:c r="AA92" s="12" t="n">
        <x:f>IFERROR(T92/Q92,0)</x:f>
        <x:v>0</x:v>
      </x:c>
      <x:c r="AB92" s="10" t="n">
        <x:f>IFERROR(R92/Q92,0)</x:f>
        <x:v>0</x:v>
      </x:c>
      <x:c r="AC92" s="10" t="n">
        <x:f>IFERROR(U92/R92,0)</x:f>
        <x:v>0</x:v>
      </x:c>
      <x:c r="AD92" s="12" t="n">
        <x:f>IFERROR(R92/U92,0)</x:f>
        <x:v>0</x:v>
      </x:c>
      <x:c r="AE92" s="10" t="n">
        <x:f>IFERROR(U92/Q92,0)</x:f>
        <x:v>0</x:v>
      </x:c>
      <x:c r="AF92" s="10" t="n">
        <x:f>IF(Q92=0,M92,IF(U92=0,IF(Q92&gt;=10,MAX(0.02,M92*0.7),M92),IF(AD92=0,M92,MAX(0.02,IF(AD92&gt;Summary!$B$2,M92*Summary!$B$2/AD92,MIN(M92*1.2,M92*Summary!$B$2/AD92))))))</x:f>
        <x:v>0.86</x:v>
      </x:c>
      <x:c r="AG92" s="11" t="n">
        <x:f>IFERROR(AF92/M92-1,0)</x:f>
        <x:v>0</x:v>
      </x:c>
      <x:c r="AH92" t="str">
        <x:f>IF(Q92=0,"Need clicks",IF(AND(U92=0,Q92&gt;=10),"No sales: lower/pause",IF(AND(AD92&gt;Summary!$B$2,T92&gt;0),"Over target: reduce",IF(AND(AD92&lt;=Summary!$B$2,T92&gt;0),"At/under target: scale/hold",IF(AND(Q92&gt;0,T92=0),"Collect data","Review")))))</x:f>
        <x:v>Need clicks</x:v>
      </x:c>
      <x:c r="AI92" s="10" t="n">
        <x:f>IFERROR(IF(U92=0,R92,MAX(0,R92-(U92*Summary!$B$2))),0)</x:f>
        <x:v>0</x:v>
      </x:c>
      <x:c r="AJ92" t="str">
        <x:f>IF(AH92="No sales: lower/pause","Waste",IF(AH92="Over target: reduce","Inefficient",IF(AH92="At/under target: scale/hold","Efficient",IF(AND(O92&gt;=1000,Q92=0),"High imp/no click","Data gathering"))))</x:f>
        <x:v>Data gathering</x:v>
      </x:c>
    </x:row>
    <x:row r="93">
      <x:c r="A93" t="s">
        <x:v>22</x:v>
      </x:c>
      <x:c r="B93" t="s">
        <x:v>159</x:v>
      </x:c>
      <x:c r="C93" t="s">
        <x:v>22</x:v>
      </x:c>
      <x:c r="D93" t="s">
        <x:v>24</x:v>
      </x:c>
      <x:c r="E93" t="s">
        <x:v>63</x:v>
      </x:c>
      <x:c r="F93" t="s">
        <x:v>26</x:v>
      </x:c>
      <x:c r="G93" t="s">
        <x:v>27</x:v>
      </x:c>
      <x:c r="H93" t="s">
        <x:v>146</x:v>
      </x:c>
      <x:c r="I93">
        <x:v>1</x:v>
      </x:c>
      <x:c r="L93">
        <x:v>0</x:v>
      </x:c>
      <x:c r="M93">
        <x:v>0.85</x:v>
      </x:c>
      <x:c r="N93">
        <x:v>1.41</x:v>
      </x:c>
      <x:c r="O93">
        <x:v>1</x:v>
      </x:c>
      <x:c r="Q93">
        <x:v>0</x:v>
      </x:c>
      <x:c r="R93" s="10">
        <x:v>0</x:v>
      </x:c>
      <x:c r="S93">
        <x:v>0</x:v>
      </x:c>
      <x:c r="T93">
        <x:v>0</x:v>
      </x:c>
      <x:c r="U93" s="10">
        <x:v>0</x:v>
      </x:c>
      <x:c r="W93" s="11" t="n">
        <x:f>Summary!$B$2</x:f>
        <x:v>0.15</x:v>
      </x:c>
      <x:c r="X93" s="11" t="n">
        <x:f>IFERROR(AD93-Summary!$B$2,"")</x:f>
        <x:v>-0.15</x:v>
      </x:c>
      <x:c r="Y93" s="10" t="str">
        <x:f>IFERROR((U93/Q93)*Summary!$B$2,"")</x:f>
      </x:c>
      <x:c r="Z93" s="12" t="n">
        <x:f>IFERROR(Q93/O93,0)</x:f>
        <x:v>0</x:v>
      </x:c>
      <x:c r="AA93" s="12" t="n">
        <x:f>IFERROR(T93/Q93,0)</x:f>
        <x:v>0</x:v>
      </x:c>
      <x:c r="AB93" s="10" t="n">
        <x:f>IFERROR(R93/Q93,0)</x:f>
        <x:v>0</x:v>
      </x:c>
      <x:c r="AC93" s="10" t="n">
        <x:f>IFERROR(U93/R93,0)</x:f>
        <x:v>0</x:v>
      </x:c>
      <x:c r="AD93" s="12" t="n">
        <x:f>IFERROR(R93/U93,0)</x:f>
        <x:v>0</x:v>
      </x:c>
      <x:c r="AE93" s="10" t="n">
        <x:f>IFERROR(U93/Q93,0)</x:f>
        <x:v>0</x:v>
      </x:c>
      <x:c r="AF93" s="10" t="n">
        <x:f>IF(Q93=0,M93,IF(U93=0,IF(Q93&gt;=10,MAX(0.02,M93*0.7),M93),IF(AD93=0,M93,MAX(0.02,IF(AD93&gt;Summary!$B$2,M93*Summary!$B$2/AD93,MIN(M93*1.2,M93*Summary!$B$2/AD93))))))</x:f>
        <x:v>0.85</x:v>
      </x:c>
      <x:c r="AG93" s="11" t="n">
        <x:f>IFERROR(AF93/M93-1,0)</x:f>
        <x:v>0</x:v>
      </x:c>
      <x:c r="AH93" t="str">
        <x:f>IF(Q93=0,"Need clicks",IF(AND(U93=0,Q93&gt;=10),"No sales: lower/pause",IF(AND(AD93&gt;Summary!$B$2,T93&gt;0),"Over target: reduce",IF(AND(AD93&lt;=Summary!$B$2,T93&gt;0),"At/under target: scale/hold",IF(AND(Q93&gt;0,T93=0),"Collect data","Review")))))</x:f>
        <x:v>Need clicks</x:v>
      </x:c>
      <x:c r="AI93" s="10" t="n">
        <x:f>IFERROR(IF(U93=0,R93,MAX(0,R93-(U93*Summary!$B$2))),0)</x:f>
        <x:v>0</x:v>
      </x:c>
      <x:c r="AJ93" t="str">
        <x:f>IF(AH93="No sales: lower/pause","Waste",IF(AH93="Over target: reduce","Inefficient",IF(AH93="At/under target: scale/hold","Efficient",IF(AND(O93&gt;=1000,Q93=0),"High imp/no click","Data gathering"))))</x:f>
        <x:v>Data gathering</x:v>
      </x:c>
    </x:row>
    <x:row r="94">
      <x:c r="A94" t="s">
        <x:v>22</x:v>
      </x:c>
      <x:c r="B94" t="s">
        <x:v>160</x:v>
      </x:c>
      <x:c r="C94" t="s">
        <x:v>22</x:v>
      </x:c>
      <x:c r="D94" t="s">
        <x:v>24</x:v>
      </x:c>
      <x:c r="E94" t="s">
        <x:v>63</x:v>
      </x:c>
      <x:c r="F94" t="s">
        <x:v>26</x:v>
      </x:c>
      <x:c r="G94" t="s">
        <x:v>27</x:v>
      </x:c>
      <x:c r="H94" t="s">
        <x:v>146</x:v>
      </x:c>
      <x:c r="I94">
        <x:v>1</x:v>
      </x:c>
      <x:c r="L94">
        <x:v>0</x:v>
      </x:c>
      <x:c r="M94">
        <x:v>0.83</x:v>
      </x:c>
      <x:c r="N94">
        <x:v>2.27</x:v>
      </x:c>
      <x:c r="O94">
        <x:v>7</x:v>
      </x:c>
      <x:c r="P94">
        <x:v>0</x:v>
      </x:c>
      <x:c r="Q94">
        <x:v>0</x:v>
      </x:c>
      <x:c r="R94" s="10">
        <x:v>0</x:v>
      </x:c>
      <x:c r="S94">
        <x:v>0</x:v>
      </x:c>
      <x:c r="T94">
        <x:v>0</x:v>
      </x:c>
      <x:c r="U94" s="10">
        <x:v>0</x:v>
      </x:c>
      <x:c r="W94" s="11" t="n">
        <x:f>Summary!$B$2</x:f>
        <x:v>0.15</x:v>
      </x:c>
      <x:c r="X94" s="11" t="n">
        <x:f>IFERROR(AD94-Summary!$B$2,"")</x:f>
        <x:v>-0.15</x:v>
      </x:c>
      <x:c r="Y94" s="10" t="str">
        <x:f>IFERROR((U94/Q94)*Summary!$B$2,"")</x:f>
      </x:c>
      <x:c r="Z94" s="12" t="n">
        <x:f>IFERROR(Q94/O94,0)</x:f>
        <x:v>0</x:v>
      </x:c>
      <x:c r="AA94" s="12" t="n">
        <x:f>IFERROR(T94/Q94,0)</x:f>
        <x:v>0</x:v>
      </x:c>
      <x:c r="AB94" s="10" t="n">
        <x:f>IFERROR(R94/Q94,0)</x:f>
        <x:v>0</x:v>
      </x:c>
      <x:c r="AC94" s="10" t="n">
        <x:f>IFERROR(U94/R94,0)</x:f>
        <x:v>0</x:v>
      </x:c>
      <x:c r="AD94" s="12" t="n">
        <x:f>IFERROR(R94/U94,0)</x:f>
        <x:v>0</x:v>
      </x:c>
      <x:c r="AE94" s="10" t="n">
        <x:f>IFERROR(U94/Q94,0)</x:f>
        <x:v>0</x:v>
      </x:c>
      <x:c r="AF94" s="10" t="n">
        <x:f>IF(Q94=0,M94,IF(U94=0,IF(Q94&gt;=10,MAX(0.02,M94*0.7),M94),IF(AD94=0,M94,MAX(0.02,IF(AD94&gt;Summary!$B$2,M94*Summary!$B$2/AD94,MIN(M94*1.2,M94*Summary!$B$2/AD94))))))</x:f>
        <x:v>0.83</x:v>
      </x:c>
      <x:c r="AG94" s="11" t="n">
        <x:f>IFERROR(AF94/M94-1,0)</x:f>
        <x:v>0</x:v>
      </x:c>
      <x:c r="AH94" t="str">
        <x:f>IF(Q94=0,"Need clicks",IF(AND(U94=0,Q94&gt;=10),"No sales: lower/pause",IF(AND(AD94&gt;Summary!$B$2,T94&gt;0),"Over target: reduce",IF(AND(AD94&lt;=Summary!$B$2,T94&gt;0),"At/under target: scale/hold",IF(AND(Q94&gt;0,T94=0),"Collect data","Review")))))</x:f>
        <x:v>Need clicks</x:v>
      </x:c>
      <x:c r="AI94" s="10" t="n">
        <x:f>IFERROR(IF(U94=0,R94,MAX(0,R94-(U94*Summary!$B$2))),0)</x:f>
        <x:v>0</x:v>
      </x:c>
      <x:c r="AJ94" t="str">
        <x:f>IF(AH94="No sales: lower/pause","Waste",IF(AH94="Over target: reduce","Inefficient",IF(AH94="At/under target: scale/hold","Efficient",IF(AND(O94&gt;=1000,Q94=0),"High imp/no click","Data gathering"))))</x:f>
        <x:v>Data gathering</x:v>
      </x:c>
    </x:row>
    <x:row r="95">
      <x:c r="A95" t="s">
        <x:v>22</x:v>
      </x:c>
      <x:c r="B95" t="s">
        <x:v>161</x:v>
      </x:c>
      <x:c r="C95" t="s">
        <x:v>22</x:v>
      </x:c>
      <x:c r="D95" t="s">
        <x:v>24</x:v>
      </x:c>
      <x:c r="E95" t="s">
        <x:v>63</x:v>
      </x:c>
      <x:c r="F95" t="s">
        <x:v>26</x:v>
      </x:c>
      <x:c r="G95" t="s">
        <x:v>27</x:v>
      </x:c>
      <x:c r="H95" t="s">
        <x:v>146</x:v>
      </x:c>
      <x:c r="I95">
        <x:v>1</x:v>
      </x:c>
      <x:c r="L95">
        <x:v>0</x:v>
      </x:c>
      <x:c r="M95">
        <x:v>0.75</x:v>
      </x:c>
      <x:c r="N95">
        <x:v>4.57</x:v>
      </x:c>
      <x:c r="O95">
        <x:v>18</x:v>
      </x:c>
      <x:c r="P95" s="1" t="s">
        <x:v>162</x:v>
      </x:c>
      <x:c r="Q95">
        <x:v>0</x:v>
      </x:c>
      <x:c r="R95" s="10">
        <x:v>0</x:v>
      </x:c>
      <x:c r="S95">
        <x:v>0</x:v>
      </x:c>
      <x:c r="T95">
        <x:v>0</x:v>
      </x:c>
      <x:c r="U95" s="10">
        <x:v>0</x:v>
      </x:c>
      <x:c r="W95" s="11" t="n">
        <x:f>Summary!$B$2</x:f>
        <x:v>0.15</x:v>
      </x:c>
      <x:c r="X95" s="11" t="n">
        <x:f>IFERROR(AD95-Summary!$B$2,"")</x:f>
        <x:v>-0.15</x:v>
      </x:c>
      <x:c r="Y95" s="10" t="str">
        <x:f>IFERROR((U95/Q95)*Summary!$B$2,"")</x:f>
      </x:c>
      <x:c r="Z95" s="12" t="n">
        <x:f>IFERROR(Q95/O95,0)</x:f>
        <x:v>0</x:v>
      </x:c>
      <x:c r="AA95" s="12" t="n">
        <x:f>IFERROR(T95/Q95,0)</x:f>
        <x:v>0</x:v>
      </x:c>
      <x:c r="AB95" s="10" t="n">
        <x:f>IFERROR(R95/Q95,0)</x:f>
        <x:v>0</x:v>
      </x:c>
      <x:c r="AC95" s="10" t="n">
        <x:f>IFERROR(U95/R95,0)</x:f>
        <x:v>0</x:v>
      </x:c>
      <x:c r="AD95" s="12" t="n">
        <x:f>IFERROR(R95/U95,0)</x:f>
        <x:v>0</x:v>
      </x:c>
      <x:c r="AE95" s="10" t="n">
        <x:f>IFERROR(U95/Q95,0)</x:f>
        <x:v>0</x:v>
      </x:c>
      <x:c r="AF95" s="10" t="n">
        <x:f>IF(Q95=0,M95,IF(U95=0,IF(Q95&gt;=10,MAX(0.02,M95*0.7),M95),IF(AD95=0,M95,MAX(0.02,IF(AD95&gt;Summary!$B$2,M95*Summary!$B$2/AD95,MIN(M95*1.2,M95*Summary!$B$2/AD95))))))</x:f>
        <x:v>0.75</x:v>
      </x:c>
      <x:c r="AG95" s="11" t="n">
        <x:f>IFERROR(AF95/M95-1,0)</x:f>
        <x:v>0</x:v>
      </x:c>
      <x:c r="AH95" t="str">
        <x:f>IF(Q95=0,"Need clicks",IF(AND(U95=0,Q95&gt;=10),"No sales: lower/pause",IF(AND(AD95&gt;Summary!$B$2,T95&gt;0),"Over target: reduce",IF(AND(AD95&lt;=Summary!$B$2,T95&gt;0),"At/under target: scale/hold",IF(AND(Q95&gt;0,T95=0),"Collect data","Review")))))</x:f>
        <x:v>Need clicks</x:v>
      </x:c>
      <x:c r="AI95" s="10" t="n">
        <x:f>IFERROR(IF(U95=0,R95,MAX(0,R95-(U95*Summary!$B$2))),0)</x:f>
        <x:v>0</x:v>
      </x:c>
      <x:c r="AJ95" t="str">
        <x:f>IF(AH95="No sales: lower/pause","Waste",IF(AH95="Over target: reduce","Inefficient",IF(AH95="At/under target: scale/hold","Efficient",IF(AND(O95&gt;=1000,Q95=0),"High imp/no click","Data gathering"))))</x:f>
        <x:v>Data gathering</x:v>
      </x:c>
    </x:row>
    <x:row r="96">
      <x:c r="A96" t="s">
        <x:v>22</x:v>
      </x:c>
      <x:c r="B96" t="s">
        <x:v>163</x:v>
      </x:c>
      <x:c r="C96" t="s">
        <x:v>22</x:v>
      </x:c>
      <x:c r="D96" t="s">
        <x:v>24</x:v>
      </x:c>
      <x:c r="E96" t="s">
        <x:v>63</x:v>
      </x:c>
      <x:c r="F96" t="s">
        <x:v>26</x:v>
      </x:c>
      <x:c r="G96" t="s">
        <x:v>27</x:v>
      </x:c>
      <x:c r="H96" t="s">
        <x:v>146</x:v>
      </x:c>
      <x:c r="I96">
        <x:v>1</x:v>
      </x:c>
      <x:c r="L96">
        <x:v>0</x:v>
      </x:c>
      <x:c r="M96">
        <x:v>0.85</x:v>
      </x:c>
      <x:c r="N96">
        <x:v>2.0099999999999998</x:v>
      </x:c>
      <x:c r="O96">
        <x:v>4</x:v>
      </x:c>
      <x:c r="P96">
        <x:v>0</x:v>
      </x:c>
      <x:c r="Q96">
        <x:v>0</x:v>
      </x:c>
      <x:c r="R96" s="10">
        <x:v>0</x:v>
      </x:c>
      <x:c r="S96">
        <x:v>0</x:v>
      </x:c>
      <x:c r="T96">
        <x:v>0</x:v>
      </x:c>
      <x:c r="U96" s="10">
        <x:v>0</x:v>
      </x:c>
      <x:c r="W96" s="11" t="n">
        <x:f>Summary!$B$2</x:f>
        <x:v>0.15</x:v>
      </x:c>
      <x:c r="X96" s="11" t="n">
        <x:f>IFERROR(AD96-Summary!$B$2,"")</x:f>
        <x:v>-0.15</x:v>
      </x:c>
      <x:c r="Y96" s="10" t="str">
        <x:f>IFERROR((U96/Q96)*Summary!$B$2,"")</x:f>
      </x:c>
      <x:c r="Z96" s="12" t="n">
        <x:f>IFERROR(Q96/O96,0)</x:f>
        <x:v>0</x:v>
      </x:c>
      <x:c r="AA96" s="12" t="n">
        <x:f>IFERROR(T96/Q96,0)</x:f>
        <x:v>0</x:v>
      </x:c>
      <x:c r="AB96" s="10" t="n">
        <x:f>IFERROR(R96/Q96,0)</x:f>
        <x:v>0</x:v>
      </x:c>
      <x:c r="AC96" s="10" t="n">
        <x:f>IFERROR(U96/R96,0)</x:f>
        <x:v>0</x:v>
      </x:c>
      <x:c r="AD96" s="12" t="n">
        <x:f>IFERROR(R96/U96,0)</x:f>
        <x:v>0</x:v>
      </x:c>
      <x:c r="AE96" s="10" t="n">
        <x:f>IFERROR(U96/Q96,0)</x:f>
        <x:v>0</x:v>
      </x:c>
      <x:c r="AF96" s="10" t="n">
        <x:f>IF(Q96=0,M96,IF(U96=0,IF(Q96&gt;=10,MAX(0.02,M96*0.7),M96),IF(AD96=0,M96,MAX(0.02,IF(AD96&gt;Summary!$B$2,M96*Summary!$B$2/AD96,MIN(M96*1.2,M96*Summary!$B$2/AD96))))))</x:f>
        <x:v>0.85</x:v>
      </x:c>
      <x:c r="AG96" s="11" t="n">
        <x:f>IFERROR(AF96/M96-1,0)</x:f>
        <x:v>0</x:v>
      </x:c>
      <x:c r="AH96" t="str">
        <x:f>IF(Q96=0,"Need clicks",IF(AND(U96=0,Q96&gt;=10),"No sales: lower/pause",IF(AND(AD96&gt;Summary!$B$2,T96&gt;0),"Over target: reduce",IF(AND(AD96&lt;=Summary!$B$2,T96&gt;0),"At/under target: scale/hold",IF(AND(Q96&gt;0,T96=0),"Collect data","Review")))))</x:f>
        <x:v>Need clicks</x:v>
      </x:c>
      <x:c r="AI96" s="10" t="n">
        <x:f>IFERROR(IF(U96=0,R96,MAX(0,R96-(U96*Summary!$B$2))),0)</x:f>
        <x:v>0</x:v>
      </x:c>
      <x:c r="AJ96" t="str">
        <x:f>IF(AH96="No sales: lower/pause","Waste",IF(AH96="Over target: reduce","Inefficient",IF(AH96="At/under target: scale/hold","Efficient",IF(AND(O96&gt;=1000,Q96=0),"High imp/no click","Data gathering"))))</x:f>
        <x:v>Data gathering</x:v>
      </x:c>
    </x:row>
    <x:row r="97">
      <x:c r="A97" t="s">
        <x:v>22</x:v>
      </x:c>
      <x:c r="B97" t="s">
        <x:v>164</x:v>
      </x:c>
      <x:c r="C97" t="s">
        <x:v>22</x:v>
      </x:c>
      <x:c r="D97" t="s">
        <x:v>24</x:v>
      </x:c>
      <x:c r="E97" t="s">
        <x:v>63</x:v>
      </x:c>
      <x:c r="F97" t="s">
        <x:v>26</x:v>
      </x:c>
      <x:c r="G97" t="s">
        <x:v>27</x:v>
      </x:c>
      <x:c r="H97" t="s">
        <x:v>146</x:v>
      </x:c>
      <x:c r="I97">
        <x:v>1</x:v>
      </x:c>
      <x:c r="L97">
        <x:v>0</x:v>
      </x:c>
      <x:c r="M97">
        <x:v>0.75</x:v>
      </x:c>
      <x:c r="N97">
        <x:v>2.99</x:v>
      </x:c>
      <x:c r="O97">
        <x:v>30</x:v>
      </x:c>
      <x:c r="P97" s="1" t="s">
        <x:v>165</x:v>
      </x:c>
      <x:c r="Q97">
        <x:v>0</x:v>
      </x:c>
      <x:c r="R97" s="10">
        <x:v>0</x:v>
      </x:c>
      <x:c r="S97">
        <x:v>0</x:v>
      </x:c>
      <x:c r="T97">
        <x:v>0</x:v>
      </x:c>
      <x:c r="U97" s="10">
        <x:v>0</x:v>
      </x:c>
      <x:c r="W97" s="11" t="n">
        <x:f>Summary!$B$2</x:f>
        <x:v>0.15</x:v>
      </x:c>
      <x:c r="X97" s="11" t="n">
        <x:f>IFERROR(AD97-Summary!$B$2,"")</x:f>
        <x:v>-0.15</x:v>
      </x:c>
      <x:c r="Y97" s="10" t="str">
        <x:f>IFERROR((U97/Q97)*Summary!$B$2,"")</x:f>
      </x:c>
      <x:c r="Z97" s="12" t="n">
        <x:f>IFERROR(Q97/O97,0)</x:f>
        <x:v>0</x:v>
      </x:c>
      <x:c r="AA97" s="12" t="n">
        <x:f>IFERROR(T97/Q97,0)</x:f>
        <x:v>0</x:v>
      </x:c>
      <x:c r="AB97" s="10" t="n">
        <x:f>IFERROR(R97/Q97,0)</x:f>
        <x:v>0</x:v>
      </x:c>
      <x:c r="AC97" s="10" t="n">
        <x:f>IFERROR(U97/R97,0)</x:f>
        <x:v>0</x:v>
      </x:c>
      <x:c r="AD97" s="12" t="n">
        <x:f>IFERROR(R97/U97,0)</x:f>
        <x:v>0</x:v>
      </x:c>
      <x:c r="AE97" s="10" t="n">
        <x:f>IFERROR(U97/Q97,0)</x:f>
        <x:v>0</x:v>
      </x:c>
      <x:c r="AF97" s="10" t="n">
        <x:f>IF(Q97=0,M97,IF(U97=0,IF(Q97&gt;=10,MAX(0.02,M97*0.7),M97),IF(AD97=0,M97,MAX(0.02,IF(AD97&gt;Summary!$B$2,M97*Summary!$B$2/AD97,MIN(M97*1.2,M97*Summary!$B$2/AD97))))))</x:f>
        <x:v>0.75</x:v>
      </x:c>
      <x:c r="AG97" s="11" t="n">
        <x:f>IFERROR(AF97/M97-1,0)</x:f>
        <x:v>0</x:v>
      </x:c>
      <x:c r="AH97" t="str">
        <x:f>IF(Q97=0,"Need clicks",IF(AND(U97=0,Q97&gt;=10),"No sales: lower/pause",IF(AND(AD97&gt;Summary!$B$2,T97&gt;0),"Over target: reduce",IF(AND(AD97&lt;=Summary!$B$2,T97&gt;0),"At/under target: scale/hold",IF(AND(Q97&gt;0,T97=0),"Collect data","Review")))))</x:f>
        <x:v>Need clicks</x:v>
      </x:c>
      <x:c r="AI97" s="10" t="n">
        <x:f>IFERROR(IF(U97=0,R97,MAX(0,R97-(U97*Summary!$B$2))),0)</x:f>
        <x:v>0</x:v>
      </x:c>
      <x:c r="AJ97" t="str">
        <x:f>IF(AH97="No sales: lower/pause","Waste",IF(AH97="Over target: reduce","Inefficient",IF(AH97="At/under target: scale/hold","Efficient",IF(AND(O97&gt;=1000,Q97=0),"High imp/no click","Data gathering"))))</x:f>
        <x:v>Data gathering</x:v>
      </x:c>
    </x:row>
    <x:row r="98">
      <x:c r="A98" t="s">
        <x:v>22</x:v>
      </x:c>
      <x:c r="B98" t="s">
        <x:v>166</x:v>
      </x:c>
      <x:c r="C98" t="s">
        <x:v>22</x:v>
      </x:c>
      <x:c r="D98" t="s">
        <x:v>24</x:v>
      </x:c>
      <x:c r="E98" t="s">
        <x:v>63</x:v>
      </x:c>
      <x:c r="F98" t="s">
        <x:v>26</x:v>
      </x:c>
      <x:c r="G98" t="s">
        <x:v>27</x:v>
      </x:c>
      <x:c r="H98" t="s">
        <x:v>146</x:v>
      </x:c>
      <x:c r="I98">
        <x:v>1</x:v>
      </x:c>
      <x:c r="L98">
        <x:v>0</x:v>
      </x:c>
      <x:c r="M98">
        <x:v>1.4</x:v>
      </x:c>
      <x:c r="N98">
        <x:v>2.36</x:v>
      </x:c>
      <x:c r="O98">
        <x:v>203</x:v>
      </x:c>
      <x:c r="P98">
        <x:v>8.0603559453185395E-4</x:v>
      </x:c>
      <x:c r="Q98">
        <x:v>0</x:v>
      </x:c>
      <x:c r="R98" s="10">
        <x:v>0</x:v>
      </x:c>
      <x:c r="S98">
        <x:v>0</x:v>
      </x:c>
      <x:c r="T98">
        <x:v>0</x:v>
      </x:c>
      <x:c r="U98" s="10">
        <x:v>0</x:v>
      </x:c>
      <x:c r="W98" s="11" t="n">
        <x:f>Summary!$B$2</x:f>
        <x:v>0.15</x:v>
      </x:c>
      <x:c r="X98" s="11" t="n">
        <x:f>IFERROR(AD98-Summary!$B$2,"")</x:f>
        <x:v>-0.15</x:v>
      </x:c>
      <x:c r="Y98" s="10" t="str">
        <x:f>IFERROR((U98/Q98)*Summary!$B$2,"")</x:f>
      </x:c>
      <x:c r="Z98" s="12" t="n">
        <x:f>IFERROR(Q98/O98,0)</x:f>
        <x:v>0</x:v>
      </x:c>
      <x:c r="AA98" s="12" t="n">
        <x:f>IFERROR(T98/Q98,0)</x:f>
        <x:v>0</x:v>
      </x:c>
      <x:c r="AB98" s="10" t="n">
        <x:f>IFERROR(R98/Q98,0)</x:f>
        <x:v>0</x:v>
      </x:c>
      <x:c r="AC98" s="10" t="n">
        <x:f>IFERROR(U98/R98,0)</x:f>
        <x:v>0</x:v>
      </x:c>
      <x:c r="AD98" s="12" t="n">
        <x:f>IFERROR(R98/U98,0)</x:f>
        <x:v>0</x:v>
      </x:c>
      <x:c r="AE98" s="10" t="n">
        <x:f>IFERROR(U98/Q98,0)</x:f>
        <x:v>0</x:v>
      </x:c>
      <x:c r="AF98" s="10" t="n">
        <x:f>IF(Q98=0,M98,IF(U98=0,IF(Q98&gt;=10,MAX(0.02,M98*0.7),M98),IF(AD98=0,M98,MAX(0.02,IF(AD98&gt;Summary!$B$2,M98*Summary!$B$2/AD98,MIN(M98*1.2,M98*Summary!$B$2/AD98))))))</x:f>
        <x:v>1.4</x:v>
      </x:c>
      <x:c r="AG98" s="11" t="n">
        <x:f>IFERROR(AF98/M98-1,0)</x:f>
        <x:v>0</x:v>
      </x:c>
      <x:c r="AH98" t="str">
        <x:f>IF(Q98=0,"Need clicks",IF(AND(U98=0,Q98&gt;=10),"No sales: lower/pause",IF(AND(AD98&gt;Summary!$B$2,T98&gt;0),"Over target: reduce",IF(AND(AD98&lt;=Summary!$B$2,T98&gt;0),"At/under target: scale/hold",IF(AND(Q98&gt;0,T98=0),"Collect data","Review")))))</x:f>
        <x:v>Need clicks</x:v>
      </x:c>
      <x:c r="AI98" s="10" t="n">
        <x:f>IFERROR(IF(U98=0,R98,MAX(0,R98-(U98*Summary!$B$2))),0)</x:f>
        <x:v>0</x:v>
      </x:c>
      <x:c r="AJ98" t="str">
        <x:f>IF(AH98="No sales: lower/pause","Waste",IF(AH98="Over target: reduce","Inefficient",IF(AH98="At/under target: scale/hold","Efficient",IF(AND(O98&gt;=1000,Q98=0),"High imp/no click","Data gathering"))))</x:f>
        <x:v>Data gathering</x:v>
      </x:c>
    </x:row>
    <x:row r="99">
      <x:c r="A99" t="s">
        <x:v>22</x:v>
      </x:c>
      <x:c r="B99" t="s">
        <x:v>167</x:v>
      </x:c>
      <x:c r="C99" t="s">
        <x:v>22</x:v>
      </x:c>
      <x:c r="D99" t="s">
        <x:v>24</x:v>
      </x:c>
      <x:c r="E99" t="s">
        <x:v>63</x:v>
      </x:c>
      <x:c r="F99" t="s">
        <x:v>26</x:v>
      </x:c>
      <x:c r="G99" t="s">
        <x:v>27</x:v>
      </x:c>
      <x:c r="H99" t="s">
        <x:v>146</x:v>
      </x:c>
      <x:c r="I99">
        <x:v>1</x:v>
      </x:c>
      <x:c r="L99">
        <x:v>0</x:v>
      </x:c>
      <x:c r="M99">
        <x:v>0.85</x:v>
      </x:c>
      <x:c r="N99">
        <x:v>2.48</x:v>
      </x:c>
      <x:c r="O99">
        <x:v>103</x:v>
      </x:c>
      <x:c r="P99" s="1" t="s">
        <x:v>168</x:v>
      </x:c>
      <x:c r="Q99">
        <x:v>0</x:v>
      </x:c>
      <x:c r="R99" s="10">
        <x:v>0</x:v>
      </x:c>
      <x:c r="S99">
        <x:v>0</x:v>
      </x:c>
      <x:c r="T99">
        <x:v>0</x:v>
      </x:c>
      <x:c r="U99" s="10">
        <x:v>0</x:v>
      </x:c>
      <x:c r="W99" s="11" t="n">
        <x:f>Summary!$B$2</x:f>
        <x:v>0.15</x:v>
      </x:c>
      <x:c r="X99" s="11" t="n">
        <x:f>IFERROR(AD99-Summary!$B$2,"")</x:f>
        <x:v>-0.15</x:v>
      </x:c>
      <x:c r="Y99" s="10" t="str">
        <x:f>IFERROR((U99/Q99)*Summary!$B$2,"")</x:f>
      </x:c>
      <x:c r="Z99" s="12" t="n">
        <x:f>IFERROR(Q99/O99,0)</x:f>
        <x:v>0</x:v>
      </x:c>
      <x:c r="AA99" s="12" t="n">
        <x:f>IFERROR(T99/Q99,0)</x:f>
        <x:v>0</x:v>
      </x:c>
      <x:c r="AB99" s="10" t="n">
        <x:f>IFERROR(R99/Q99,0)</x:f>
        <x:v>0</x:v>
      </x:c>
      <x:c r="AC99" s="10" t="n">
        <x:f>IFERROR(U99/R99,0)</x:f>
        <x:v>0</x:v>
      </x:c>
      <x:c r="AD99" s="12" t="n">
        <x:f>IFERROR(R99/U99,0)</x:f>
        <x:v>0</x:v>
      </x:c>
      <x:c r="AE99" s="10" t="n">
        <x:f>IFERROR(U99/Q99,0)</x:f>
        <x:v>0</x:v>
      </x:c>
      <x:c r="AF99" s="10" t="n">
        <x:f>IF(Q99=0,M99,IF(U99=0,IF(Q99&gt;=10,MAX(0.02,M99*0.7),M99),IF(AD99=0,M99,MAX(0.02,IF(AD99&gt;Summary!$B$2,M99*Summary!$B$2/AD99,MIN(M99*1.2,M99*Summary!$B$2/AD99))))))</x:f>
        <x:v>0.85</x:v>
      </x:c>
      <x:c r="AG99" s="11" t="n">
        <x:f>IFERROR(AF99/M99-1,0)</x:f>
        <x:v>0</x:v>
      </x:c>
      <x:c r="AH99" t="str">
        <x:f>IF(Q99=0,"Need clicks",IF(AND(U99=0,Q99&gt;=10),"No sales: lower/pause",IF(AND(AD99&gt;Summary!$B$2,T99&gt;0),"Over target: reduce",IF(AND(AD99&lt;=Summary!$B$2,T99&gt;0),"At/under target: scale/hold",IF(AND(Q99&gt;0,T99=0),"Collect data","Review")))))</x:f>
        <x:v>Need clicks</x:v>
      </x:c>
      <x:c r="AI99" s="10" t="n">
        <x:f>IFERROR(IF(U99=0,R99,MAX(0,R99-(U99*Summary!$B$2))),0)</x:f>
        <x:v>0</x:v>
      </x:c>
      <x:c r="AJ99" t="str">
        <x:f>IF(AH99="No sales: lower/pause","Waste",IF(AH99="Over target: reduce","Inefficient",IF(AH99="At/under target: scale/hold","Efficient",IF(AND(O99&gt;=1000,Q99=0),"High imp/no click","Data gathering"))))</x:f>
        <x:v>Data gathering</x:v>
      </x:c>
    </x:row>
    <x:row r="100">
      <x:c r="A100" t="s">
        <x:v>22</x:v>
      </x:c>
      <x:c r="B100" t="s">
        <x:v>169</x:v>
      </x:c>
      <x:c r="C100" t="s">
        <x:v>22</x:v>
      </x:c>
      <x:c r="D100" t="s">
        <x:v>24</x:v>
      </x:c>
      <x:c r="E100" t="s">
        <x:v>63</x:v>
      </x:c>
      <x:c r="F100" t="s">
        <x:v>26</x:v>
      </x:c>
      <x:c r="G100" t="s">
        <x:v>27</x:v>
      </x:c>
      <x:c r="H100" t="s">
        <x:v>146</x:v>
      </x:c>
      <x:c r="I100">
        <x:v>1</x:v>
      </x:c>
      <x:c r="L100">
        <x:v>0</x:v>
      </x:c>
      <x:c r="M100">
        <x:v>1.1100000000000001</x:v>
      </x:c>
      <x:c r="N100">
        <x:v>1.41</x:v>
      </x:c>
      <x:c r="O100">
        <x:v>9</x:v>
      </x:c>
      <x:c r="P100">
        <x:v>0</x:v>
      </x:c>
      <x:c r="Q100">
        <x:v>0</x:v>
      </x:c>
      <x:c r="R100" s="10">
        <x:v>0</x:v>
      </x:c>
      <x:c r="S100">
        <x:v>0</x:v>
      </x:c>
      <x:c r="T100">
        <x:v>0</x:v>
      </x:c>
      <x:c r="U100" s="10">
        <x:v>0</x:v>
      </x:c>
      <x:c r="W100" s="11" t="n">
        <x:f>Summary!$B$2</x:f>
        <x:v>0.15</x:v>
      </x:c>
      <x:c r="X100" s="11" t="n">
        <x:f>IFERROR(AD100-Summary!$B$2,"")</x:f>
        <x:v>-0.15</x:v>
      </x:c>
      <x:c r="Y100" s="10" t="str">
        <x:f>IFERROR((U100/Q100)*Summary!$B$2,"")</x:f>
      </x:c>
      <x:c r="Z100" s="12" t="n">
        <x:f>IFERROR(Q100/O100,0)</x:f>
        <x:v>0</x:v>
      </x:c>
      <x:c r="AA100" s="12" t="n">
        <x:f>IFERROR(T100/Q100,0)</x:f>
        <x:v>0</x:v>
      </x:c>
      <x:c r="AB100" s="10" t="n">
        <x:f>IFERROR(R100/Q100,0)</x:f>
        <x:v>0</x:v>
      </x:c>
      <x:c r="AC100" s="10" t="n">
        <x:f>IFERROR(U100/R100,0)</x:f>
        <x:v>0</x:v>
      </x:c>
      <x:c r="AD100" s="12" t="n">
        <x:f>IFERROR(R100/U100,0)</x:f>
        <x:v>0</x:v>
      </x:c>
      <x:c r="AE100" s="10" t="n">
        <x:f>IFERROR(U100/Q100,0)</x:f>
        <x:v>0</x:v>
      </x:c>
      <x:c r="AF100" s="10" t="n">
        <x:f>IF(Q100=0,M100,IF(U100=0,IF(Q100&gt;=10,MAX(0.02,M100*0.7),M100),IF(AD100=0,M100,MAX(0.02,IF(AD100&gt;Summary!$B$2,M100*Summary!$B$2/AD100,MIN(M100*1.2,M100*Summary!$B$2/AD100))))))</x:f>
        <x:v>1.11</x:v>
      </x:c>
      <x:c r="AG100" s="11" t="n">
        <x:f>IFERROR(AF100/M100-1,0)</x:f>
        <x:v>0</x:v>
      </x:c>
      <x:c r="AH100" t="str">
        <x:f>IF(Q100=0,"Need clicks",IF(AND(U100=0,Q100&gt;=10),"No sales: lower/pause",IF(AND(AD100&gt;Summary!$B$2,T100&gt;0),"Over target: reduce",IF(AND(AD100&lt;=Summary!$B$2,T100&gt;0),"At/under target: scale/hold",IF(AND(Q100&gt;0,T100=0),"Collect data","Review")))))</x:f>
        <x:v>Need clicks</x:v>
      </x:c>
      <x:c r="AI100" s="10" t="n">
        <x:f>IFERROR(IF(U100=0,R100,MAX(0,R100-(U100*Summary!$B$2))),0)</x:f>
        <x:v>0</x:v>
      </x:c>
      <x:c r="AJ100" t="str">
        <x:f>IF(AH100="No sales: lower/pause","Waste",IF(AH100="Over target: reduce","Inefficient",IF(AH100="At/under target: scale/hold","Efficient",IF(AND(O100&gt;=1000,Q100=0),"High imp/no click","Data gathering"))))</x:f>
        <x:v>Data gathering</x:v>
      </x:c>
    </x:row>
    <x:row r="101">
      <x:c r="A101" t="s">
        <x:v>22</x:v>
      </x:c>
      <x:c r="B101" t="s">
        <x:v>170</x:v>
      </x:c>
      <x:c r="C101" t="s">
        <x:v>22</x:v>
      </x:c>
      <x:c r="D101" t="s">
        <x:v>24</x:v>
      </x:c>
      <x:c r="E101" t="s">
        <x:v>63</x:v>
      </x:c>
      <x:c r="F101" t="s">
        <x:v>26</x:v>
      </x:c>
      <x:c r="G101" t="s">
        <x:v>27</x:v>
      </x:c>
      <x:c r="H101" t="s">
        <x:v>146</x:v>
      </x:c>
      <x:c r="I101">
        <x:v>1</x:v>
      </x:c>
      <x:c r="L101">
        <x:v>0</x:v>
      </x:c>
      <x:c r="M101">
        <x:v>1.4</x:v>
      </x:c>
      <x:c r="N101">
        <x:v>4.0599999999999996</x:v>
      </x:c>
      <x:c r="O101">
        <x:v>207</x:v>
      </x:c>
      <x:c r="P101">
        <x:v>0</x:v>
      </x:c>
      <x:c r="Q101">
        <x:v>0</x:v>
      </x:c>
      <x:c r="R101" s="10">
        <x:v>0</x:v>
      </x:c>
      <x:c r="S101">
        <x:v>0</x:v>
      </x:c>
      <x:c r="T101">
        <x:v>0</x:v>
      </x:c>
      <x:c r="U101" s="10">
        <x:v>0</x:v>
      </x:c>
      <x:c r="W101" s="11" t="n">
        <x:f>Summary!$B$2</x:f>
        <x:v>0.15</x:v>
      </x:c>
      <x:c r="X101" s="11" t="n">
        <x:f>IFERROR(AD101-Summary!$B$2,"")</x:f>
        <x:v>-0.15</x:v>
      </x:c>
      <x:c r="Y101" s="10" t="str">
        <x:f>IFERROR((U101/Q101)*Summary!$B$2,"")</x:f>
      </x:c>
      <x:c r="Z101" s="12" t="n">
        <x:f>IFERROR(Q101/O101,0)</x:f>
        <x:v>0</x:v>
      </x:c>
      <x:c r="AA101" s="12" t="n">
        <x:f>IFERROR(T101/Q101,0)</x:f>
        <x:v>0</x:v>
      </x:c>
      <x:c r="AB101" s="10" t="n">
        <x:f>IFERROR(R101/Q101,0)</x:f>
        <x:v>0</x:v>
      </x:c>
      <x:c r="AC101" s="10" t="n">
        <x:f>IFERROR(U101/R101,0)</x:f>
        <x:v>0</x:v>
      </x:c>
      <x:c r="AD101" s="12" t="n">
        <x:f>IFERROR(R101/U101,0)</x:f>
        <x:v>0</x:v>
      </x:c>
      <x:c r="AE101" s="10" t="n">
        <x:f>IFERROR(U101/Q101,0)</x:f>
        <x:v>0</x:v>
      </x:c>
      <x:c r="AF101" s="10" t="n">
        <x:f>IF(Q101=0,M101,IF(U101=0,IF(Q101&gt;=10,MAX(0.02,M101*0.7),M101),IF(AD101=0,M101,MAX(0.02,IF(AD101&gt;Summary!$B$2,M101*Summary!$B$2/AD101,MIN(M101*1.2,M101*Summary!$B$2/AD101))))))</x:f>
        <x:v>1.4</x:v>
      </x:c>
      <x:c r="AG101" s="11" t="n">
        <x:f>IFERROR(AF101/M101-1,0)</x:f>
        <x:v>0</x:v>
      </x:c>
      <x:c r="AH101" t="str">
        <x:f>IF(Q101=0,"Need clicks",IF(AND(U101=0,Q101&gt;=10),"No sales: lower/pause",IF(AND(AD101&gt;Summary!$B$2,T101&gt;0),"Over target: reduce",IF(AND(AD101&lt;=Summary!$B$2,T101&gt;0),"At/under target: scale/hold",IF(AND(Q101&gt;0,T101=0),"Collect data","Review")))))</x:f>
        <x:v>Need clicks</x:v>
      </x:c>
      <x:c r="AI101" s="10" t="n">
        <x:f>IFERROR(IF(U101=0,R101,MAX(0,R101-(U101*Summary!$B$2))),0)</x:f>
        <x:v>0</x:v>
      </x:c>
      <x:c r="AJ101" t="str">
        <x:f>IF(AH101="No sales: lower/pause","Waste",IF(AH101="Over target: reduce","Inefficient",IF(AH101="At/under target: scale/hold","Efficient",IF(AND(O101&gt;=1000,Q101=0),"High imp/no click","Data gathering"))))</x:f>
        <x:v>Data gathering</x:v>
      </x:c>
    </x:row>
    <x:row r="102">
      <x:c r="A102" t="s">
        <x:v>22</x:v>
      </x:c>
      <x:c r="B102" t="s">
        <x:v>171</x:v>
      </x:c>
      <x:c r="C102" t="s">
        <x:v>22</x:v>
      </x:c>
      <x:c r="D102" t="s">
        <x:v>24</x:v>
      </x:c>
      <x:c r="E102" t="s">
        <x:v>63</x:v>
      </x:c>
      <x:c r="F102" t="s">
        <x:v>26</x:v>
      </x:c>
      <x:c r="G102" t="s">
        <x:v>27</x:v>
      </x:c>
      <x:c r="H102" t="s">
        <x:v>146</x:v>
      </x:c>
      <x:c r="I102">
        <x:v>1</x:v>
      </x:c>
      <x:c r="L102">
        <x:v>0</x:v>
      </x:c>
      <x:c r="M102">
        <x:v>0.86</x:v>
      </x:c>
      <x:c r="N102">
        <x:v>3.03</x:v>
      </x:c>
      <x:c r="O102">
        <x:v>23</x:v>
      </x:c>
      <x:c r="P102" s="1" t="s">
        <x:v>172</x:v>
      </x:c>
      <x:c r="Q102">
        <x:v>0</x:v>
      </x:c>
      <x:c r="R102" s="10">
        <x:v>0</x:v>
      </x:c>
      <x:c r="S102">
        <x:v>0</x:v>
      </x:c>
      <x:c r="T102">
        <x:v>0</x:v>
      </x:c>
      <x:c r="U102" s="10">
        <x:v>0</x:v>
      </x:c>
      <x:c r="W102" s="11" t="n">
        <x:f>Summary!$B$2</x:f>
        <x:v>0.15</x:v>
      </x:c>
      <x:c r="X102" s="11" t="n">
        <x:f>IFERROR(AD102-Summary!$B$2,"")</x:f>
        <x:v>-0.15</x:v>
      </x:c>
      <x:c r="Y102" s="10" t="str">
        <x:f>IFERROR((U102/Q102)*Summary!$B$2,"")</x:f>
      </x:c>
      <x:c r="Z102" s="12" t="n">
        <x:f>IFERROR(Q102/O102,0)</x:f>
        <x:v>0</x:v>
      </x:c>
      <x:c r="AA102" s="12" t="n">
        <x:f>IFERROR(T102/Q102,0)</x:f>
        <x:v>0</x:v>
      </x:c>
      <x:c r="AB102" s="10" t="n">
        <x:f>IFERROR(R102/Q102,0)</x:f>
        <x:v>0</x:v>
      </x:c>
      <x:c r="AC102" s="10" t="n">
        <x:f>IFERROR(U102/R102,0)</x:f>
        <x:v>0</x:v>
      </x:c>
      <x:c r="AD102" s="12" t="n">
        <x:f>IFERROR(R102/U102,0)</x:f>
        <x:v>0</x:v>
      </x:c>
      <x:c r="AE102" s="10" t="n">
        <x:f>IFERROR(U102/Q102,0)</x:f>
        <x:v>0</x:v>
      </x:c>
      <x:c r="AF102" s="10" t="n">
        <x:f>IF(Q102=0,M102,IF(U102=0,IF(Q102&gt;=10,MAX(0.02,M102*0.7),M102),IF(AD102=0,M102,MAX(0.02,IF(AD102&gt;Summary!$B$2,M102*Summary!$B$2/AD102,MIN(M102*1.2,M102*Summary!$B$2/AD102))))))</x:f>
        <x:v>0.86</x:v>
      </x:c>
      <x:c r="AG102" s="11" t="n">
        <x:f>IFERROR(AF102/M102-1,0)</x:f>
        <x:v>0</x:v>
      </x:c>
      <x:c r="AH102" t="str">
        <x:f>IF(Q102=0,"Need clicks",IF(AND(U102=0,Q102&gt;=10),"No sales: lower/pause",IF(AND(AD102&gt;Summary!$B$2,T102&gt;0),"Over target: reduce",IF(AND(AD102&lt;=Summary!$B$2,T102&gt;0),"At/under target: scale/hold",IF(AND(Q102&gt;0,T102=0),"Collect data","Review")))))</x:f>
        <x:v>Need clicks</x:v>
      </x:c>
      <x:c r="AI102" s="10" t="n">
        <x:f>IFERROR(IF(U102=0,R102,MAX(0,R102-(U102*Summary!$B$2))),0)</x:f>
        <x:v>0</x:v>
      </x:c>
      <x:c r="AJ102" t="str">
        <x:f>IF(AH102="No sales: lower/pause","Waste",IF(AH102="Over target: reduce","Inefficient",IF(AH102="At/under target: scale/hold","Efficient",IF(AND(O102&gt;=1000,Q102=0),"High imp/no click","Data gathering"))))</x:f>
        <x:v>Data gathering</x:v>
      </x:c>
    </x:row>
    <x:row r="103">
      <x:c r="A103" t="s">
        <x:v>22</x:v>
      </x:c>
      <x:c r="B103" t="s">
        <x:v>173</x:v>
      </x:c>
      <x:c r="C103" t="s">
        <x:v>22</x:v>
      </x:c>
      <x:c r="D103" t="s">
        <x:v>24</x:v>
      </x:c>
      <x:c r="E103" t="s">
        <x:v>63</x:v>
      </x:c>
      <x:c r="F103" t="s">
        <x:v>26</x:v>
      </x:c>
      <x:c r="G103" t="s">
        <x:v>27</x:v>
      </x:c>
      <x:c r="H103" t="s">
        <x:v>174</x:v>
      </x:c>
      <x:c r="I103">
        <x:v>1</x:v>
      </x:c>
      <x:c r="L103">
        <x:v>0</x:v>
      </x:c>
      <x:c r="M103">
        <x:v>7.14</x:v>
      </x:c>
      <x:c r="N103">
        <x:v>7.14</x:v>
      </x:c>
      <x:c r="O103">
        <x:v>318</x:v>
      </x:c>
      <x:c r="P103" s="1" t="s">
        <x:v>175</x:v>
      </x:c>
      <x:c r="Q103">
        <x:v>0</x:v>
      </x:c>
      <x:c r="R103" s="10">
        <x:v>0</x:v>
      </x:c>
      <x:c r="S103">
        <x:v>0</x:v>
      </x:c>
      <x:c r="T103">
        <x:v>0</x:v>
      </x:c>
      <x:c r="U103" s="10">
        <x:v>0</x:v>
      </x:c>
      <x:c r="W103" s="11" t="n">
        <x:f>Summary!$B$2</x:f>
        <x:v>0.15</x:v>
      </x:c>
      <x:c r="X103" s="11" t="n">
        <x:f>IFERROR(AD103-Summary!$B$2,"")</x:f>
        <x:v>-0.15</x:v>
      </x:c>
      <x:c r="Y103" s="10" t="str">
        <x:f>IFERROR((U103/Q103)*Summary!$B$2,"")</x:f>
      </x:c>
      <x:c r="Z103" s="12" t="n">
        <x:f>IFERROR(Q103/O103,0)</x:f>
        <x:v>0</x:v>
      </x:c>
      <x:c r="AA103" s="12" t="n">
        <x:f>IFERROR(T103/Q103,0)</x:f>
        <x:v>0</x:v>
      </x:c>
      <x:c r="AB103" s="10" t="n">
        <x:f>IFERROR(R103/Q103,0)</x:f>
        <x:v>0</x:v>
      </x:c>
      <x:c r="AC103" s="10" t="n">
        <x:f>IFERROR(U103/R103,0)</x:f>
        <x:v>0</x:v>
      </x:c>
      <x:c r="AD103" s="12" t="n">
        <x:f>IFERROR(R103/U103,0)</x:f>
        <x:v>0</x:v>
      </x:c>
      <x:c r="AE103" s="10" t="n">
        <x:f>IFERROR(U103/Q103,0)</x:f>
        <x:v>0</x:v>
      </x:c>
      <x:c r="AF103" s="10" t="n">
        <x:f>IF(Q103=0,M103,IF(U103=0,IF(Q103&gt;=10,MAX(0.02,M103*0.7),M103),IF(AD103=0,M103,MAX(0.02,IF(AD103&gt;Summary!$B$2,M103*Summary!$B$2/AD103,MIN(M103*1.2,M103*Summary!$B$2/AD103))))))</x:f>
        <x:v>7.14</x:v>
      </x:c>
      <x:c r="AG103" s="11" t="n">
        <x:f>IFERROR(AF103/M103-1,0)</x:f>
        <x:v>0</x:v>
      </x:c>
      <x:c r="AH103" t="str">
        <x:f>IF(Q103=0,"Need clicks",IF(AND(U103=0,Q103&gt;=10),"No sales: lower/pause",IF(AND(AD103&gt;Summary!$B$2,T103&gt;0),"Over target: reduce",IF(AND(AD103&lt;=Summary!$B$2,T103&gt;0),"At/under target: scale/hold",IF(AND(Q103&gt;0,T103=0),"Collect data","Review")))))</x:f>
        <x:v>Need clicks</x:v>
      </x:c>
      <x:c r="AI103" s="10" t="n">
        <x:f>IFERROR(IF(U103=0,R103,MAX(0,R103-(U103*Summary!$B$2))),0)</x:f>
        <x:v>0</x:v>
      </x:c>
      <x:c r="AJ103" t="str">
        <x:f>IF(AH103="No sales: lower/pause","Waste",IF(AH103="Over target: reduce","Inefficient",IF(AH103="At/under target: scale/hold","Efficient",IF(AND(O103&gt;=1000,Q103=0),"High imp/no click","Data gathering"))))</x:f>
        <x:v>Data gathering</x:v>
      </x:c>
    </x:row>
    <x:row r="104">
      <x:c r="A104" t="s">
        <x:v>22</x:v>
      </x:c>
      <x:c r="B104" t="s">
        <x:v>176</x:v>
      </x:c>
      <x:c r="C104" t="s">
        <x:v>22</x:v>
      </x:c>
      <x:c r="D104" t="s">
        <x:v>24</x:v>
      </x:c>
      <x:c r="E104" t="s">
        <x:v>63</x:v>
      </x:c>
      <x:c r="F104" t="s">
        <x:v>26</x:v>
      </x:c>
      <x:c r="G104" t="s">
        <x:v>27</x:v>
      </x:c>
      <x:c r="H104" t="s">
        <x:v>174</x:v>
      </x:c>
      <x:c r="I104">
        <x:v>1</x:v>
      </x:c>
      <x:c r="L104">
        <x:v>0</x:v>
      </x:c>
      <x:c r="M104">
        <x:v>1.52</x:v>
      </x:c>
      <x:c r="N104">
        <x:v>3.8</x:v>
      </x:c>
      <x:c r="O104">
        <x:v>48</x:v>
      </x:c>
      <x:c r="P104">
        <x:v>0</x:v>
      </x:c>
      <x:c r="Q104">
        <x:v>0</x:v>
      </x:c>
      <x:c r="R104" s="10">
        <x:v>0</x:v>
      </x:c>
      <x:c r="S104">
        <x:v>0</x:v>
      </x:c>
      <x:c r="T104">
        <x:v>0</x:v>
      </x:c>
      <x:c r="U104" s="10">
        <x:v>0</x:v>
      </x:c>
      <x:c r="W104" s="11" t="n">
        <x:f>Summary!$B$2</x:f>
        <x:v>0.15</x:v>
      </x:c>
      <x:c r="X104" s="11" t="n">
        <x:f>IFERROR(AD104-Summary!$B$2,"")</x:f>
        <x:v>-0.15</x:v>
      </x:c>
      <x:c r="Y104" s="10" t="str">
        <x:f>IFERROR((U104/Q104)*Summary!$B$2,"")</x:f>
      </x:c>
      <x:c r="Z104" s="12" t="n">
        <x:f>IFERROR(Q104/O104,0)</x:f>
        <x:v>0</x:v>
      </x:c>
      <x:c r="AA104" s="12" t="n">
        <x:f>IFERROR(T104/Q104,0)</x:f>
        <x:v>0</x:v>
      </x:c>
      <x:c r="AB104" s="10" t="n">
        <x:f>IFERROR(R104/Q104,0)</x:f>
        <x:v>0</x:v>
      </x:c>
      <x:c r="AC104" s="10" t="n">
        <x:f>IFERROR(U104/R104,0)</x:f>
        <x:v>0</x:v>
      </x:c>
      <x:c r="AD104" s="12" t="n">
        <x:f>IFERROR(R104/U104,0)</x:f>
        <x:v>0</x:v>
      </x:c>
      <x:c r="AE104" s="10" t="n">
        <x:f>IFERROR(U104/Q104,0)</x:f>
        <x:v>0</x:v>
      </x:c>
      <x:c r="AF104" s="10" t="n">
        <x:f>IF(Q104=0,M104,IF(U104=0,IF(Q104&gt;=10,MAX(0.02,M104*0.7),M104),IF(AD104=0,M104,MAX(0.02,IF(AD104&gt;Summary!$B$2,M104*Summary!$B$2/AD104,MIN(M104*1.2,M104*Summary!$B$2/AD104))))))</x:f>
        <x:v>1.52</x:v>
      </x:c>
      <x:c r="AG104" s="11" t="n">
        <x:f>IFERROR(AF104/M104-1,0)</x:f>
        <x:v>0</x:v>
      </x:c>
      <x:c r="AH104" t="str">
        <x:f>IF(Q104=0,"Need clicks",IF(AND(U104=0,Q104&gt;=10),"No sales: lower/pause",IF(AND(AD104&gt;Summary!$B$2,T104&gt;0),"Over target: reduce",IF(AND(AD104&lt;=Summary!$B$2,T104&gt;0),"At/under target: scale/hold",IF(AND(Q104&gt;0,T104=0),"Collect data","Review")))))</x:f>
        <x:v>Need clicks</x:v>
      </x:c>
      <x:c r="AI104" s="10" t="n">
        <x:f>IFERROR(IF(U104=0,R104,MAX(0,R104-(U104*Summary!$B$2))),0)</x:f>
        <x:v>0</x:v>
      </x:c>
      <x:c r="AJ104" t="str">
        <x:f>IF(AH104="No sales: lower/pause","Waste",IF(AH104="Over target: reduce","Inefficient",IF(AH104="At/under target: scale/hold","Efficient",IF(AND(O104&gt;=1000,Q104=0),"High imp/no click","Data gathering"))))</x:f>
        <x:v>Data gathering</x:v>
      </x:c>
    </x:row>
    <x:row r="105">
      <x:c r="A105" t="s">
        <x:v>22</x:v>
      </x:c>
      <x:c r="B105" t="s">
        <x:v>177</x:v>
      </x:c>
      <x:c r="C105" t="s">
        <x:v>22</x:v>
      </x:c>
      <x:c r="D105" t="s">
        <x:v>24</x:v>
      </x:c>
      <x:c r="E105" t="s">
        <x:v>63</x:v>
      </x:c>
      <x:c r="F105" t="s">
        <x:v>26</x:v>
      </x:c>
      <x:c r="G105" t="s">
        <x:v>27</x:v>
      </x:c>
      <x:c r="H105" t="s">
        <x:v>174</x:v>
      </x:c>
      <x:c r="I105">
        <x:v>1</x:v>
      </x:c>
      <x:c r="L105">
        <x:v>0</x:v>
      </x:c>
      <x:c r="M105">
        <x:v>2.2799999999999998</x:v>
      </x:c>
      <x:c r="N105">
        <x:v>0.82</x:v>
      </x:c>
      <x:c r="O105">
        <x:v>2621</x:v>
      </x:c>
      <x:c r="P105">
        <x:v>3.75662828163153E-2</x:v>
      </x:c>
      <x:c r="Q105">
        <x:v>0</x:v>
      </x:c>
      <x:c r="R105" s="10">
        <x:v>0</x:v>
      </x:c>
      <x:c r="S105">
        <x:v>0</x:v>
      </x:c>
      <x:c r="T105">
        <x:v>0</x:v>
      </x:c>
      <x:c r="U105" s="10">
        <x:v>0</x:v>
      </x:c>
      <x:c r="W105" s="11" t="n">
        <x:f>Summary!$B$2</x:f>
        <x:v>0.15</x:v>
      </x:c>
      <x:c r="X105" s="11" t="n">
        <x:f>IFERROR(AD105-Summary!$B$2,"")</x:f>
        <x:v>-0.15</x:v>
      </x:c>
      <x:c r="Y105" s="10" t="str">
        <x:f>IFERROR((U105/Q105)*Summary!$B$2,"")</x:f>
      </x:c>
      <x:c r="Z105" s="12" t="n">
        <x:f>IFERROR(Q105/O105,0)</x:f>
        <x:v>0</x:v>
      </x:c>
      <x:c r="AA105" s="12" t="n">
        <x:f>IFERROR(T105/Q105,0)</x:f>
        <x:v>0</x:v>
      </x:c>
      <x:c r="AB105" s="10" t="n">
        <x:f>IFERROR(R105/Q105,0)</x:f>
        <x:v>0</x:v>
      </x:c>
      <x:c r="AC105" s="10" t="n">
        <x:f>IFERROR(U105/R105,0)</x:f>
        <x:v>0</x:v>
      </x:c>
      <x:c r="AD105" s="12" t="n">
        <x:f>IFERROR(R105/U105,0)</x:f>
        <x:v>0</x:v>
      </x:c>
      <x:c r="AE105" s="10" t="n">
        <x:f>IFERROR(U105/Q105,0)</x:f>
        <x:v>0</x:v>
      </x:c>
      <x:c r="AF105" s="10" t="n">
        <x:f>IF(Q105=0,M105,IF(U105=0,IF(Q105&gt;=10,MAX(0.02,M105*0.7),M105),IF(AD105=0,M105,MAX(0.02,IF(AD105&gt;Summary!$B$2,M105*Summary!$B$2/AD105,MIN(M105*1.2,M105*Summary!$B$2/AD105))))))</x:f>
        <x:v>2.28</x:v>
      </x:c>
      <x:c r="AG105" s="11" t="n">
        <x:f>IFERROR(AF105/M105-1,0)</x:f>
        <x:v>0</x:v>
      </x:c>
      <x:c r="AH105" t="str">
        <x:f>IF(Q105=0,"Need clicks",IF(AND(U105=0,Q105&gt;=10),"No sales: lower/pause",IF(AND(AD105&gt;Summary!$B$2,T105&gt;0),"Over target: reduce",IF(AND(AD105&lt;=Summary!$B$2,T105&gt;0),"At/under target: scale/hold",IF(AND(Q105&gt;0,T105=0),"Collect data","Review")))))</x:f>
        <x:v>Need clicks</x:v>
      </x:c>
      <x:c r="AI105" s="10" t="n">
        <x:f>IFERROR(IF(U105=0,R105,MAX(0,R105-(U105*Summary!$B$2))),0)</x:f>
        <x:v>0</x:v>
      </x:c>
      <x:c r="AJ105" t="str">
        <x:f>IF(AH105="No sales: lower/pause","Waste",IF(AH105="Over target: reduce","Inefficient",IF(AH105="At/under target: scale/hold","Efficient",IF(AND(O105&gt;=1000,Q105=0),"High imp/no click","Data gathering"))))</x:f>
        <x:v>High imp/no click</x:v>
      </x:c>
    </x:row>
    <x:row r="106">
      <x:c r="A106" t="s">
        <x:v>22</x:v>
      </x:c>
      <x:c r="B106" t="s">
        <x:v>178</x:v>
      </x:c>
      <x:c r="C106" t="s">
        <x:v>22</x:v>
      </x:c>
      <x:c r="D106" t="s">
        <x:v>24</x:v>
      </x:c>
      <x:c r="E106" t="s">
        <x:v>63</x:v>
      </x:c>
      <x:c r="F106" t="s">
        <x:v>26</x:v>
      </x:c>
      <x:c r="G106" t="s">
        <x:v>27</x:v>
      </x:c>
      <x:c r="H106" t="s">
        <x:v>174</x:v>
      </x:c>
      <x:c r="I106">
        <x:v>1</x:v>
      </x:c>
      <x:c r="L106">
        <x:v>0</x:v>
      </x:c>
      <x:c r="M106">
        <x:v>1.93</x:v>
      </x:c>
      <x:c r="N106">
        <x:v>3.03</x:v>
      </x:c>
      <x:c r="O106">
        <x:v>92</x:v>
      </x:c>
      <x:c r="P106">
        <x:v>3.0079711234772101E-3</x:v>
      </x:c>
      <x:c r="Q106">
        <x:v>0</x:v>
      </x:c>
      <x:c r="R106" s="10">
        <x:v>0</x:v>
      </x:c>
      <x:c r="S106">
        <x:v>0</x:v>
      </x:c>
      <x:c r="T106">
        <x:v>0</x:v>
      </x:c>
      <x:c r="U106" s="10">
        <x:v>0</x:v>
      </x:c>
      <x:c r="W106" s="11" t="n">
        <x:f>Summary!$B$2</x:f>
        <x:v>0.15</x:v>
      </x:c>
      <x:c r="X106" s="11" t="n">
        <x:f>IFERROR(AD106-Summary!$B$2,"")</x:f>
        <x:v>-0.15</x:v>
      </x:c>
      <x:c r="Y106" s="10" t="str">
        <x:f>IFERROR((U106/Q106)*Summary!$B$2,"")</x:f>
      </x:c>
      <x:c r="Z106" s="12" t="n">
        <x:f>IFERROR(Q106/O106,0)</x:f>
        <x:v>0</x:v>
      </x:c>
      <x:c r="AA106" s="12" t="n">
        <x:f>IFERROR(T106/Q106,0)</x:f>
        <x:v>0</x:v>
      </x:c>
      <x:c r="AB106" s="10" t="n">
        <x:f>IFERROR(R106/Q106,0)</x:f>
        <x:v>0</x:v>
      </x:c>
      <x:c r="AC106" s="10" t="n">
        <x:f>IFERROR(U106/R106,0)</x:f>
        <x:v>0</x:v>
      </x:c>
      <x:c r="AD106" s="12" t="n">
        <x:f>IFERROR(R106/U106,0)</x:f>
        <x:v>0</x:v>
      </x:c>
      <x:c r="AE106" s="10" t="n">
        <x:f>IFERROR(U106/Q106,0)</x:f>
        <x:v>0</x:v>
      </x:c>
      <x:c r="AF106" s="10" t="n">
        <x:f>IF(Q106=0,M106,IF(U106=0,IF(Q106&gt;=10,MAX(0.02,M106*0.7),M106),IF(AD106=0,M106,MAX(0.02,IF(AD106&gt;Summary!$B$2,M106*Summary!$B$2/AD106,MIN(M106*1.2,M106*Summary!$B$2/AD106))))))</x:f>
        <x:v>1.93</x:v>
      </x:c>
      <x:c r="AG106" s="11" t="n">
        <x:f>IFERROR(AF106/M106-1,0)</x:f>
        <x:v>0</x:v>
      </x:c>
      <x:c r="AH106" t="str">
        <x:f>IF(Q106=0,"Need clicks",IF(AND(U106=0,Q106&gt;=10),"No sales: lower/pause",IF(AND(AD106&gt;Summary!$B$2,T106&gt;0),"Over target: reduce",IF(AND(AD106&lt;=Summary!$B$2,T106&gt;0),"At/under target: scale/hold",IF(AND(Q106&gt;0,T106=0),"Collect data","Review")))))</x:f>
        <x:v>Need clicks</x:v>
      </x:c>
      <x:c r="AI106" s="10" t="n">
        <x:f>IFERROR(IF(U106=0,R106,MAX(0,R106-(U106*Summary!$B$2))),0)</x:f>
        <x:v>0</x:v>
      </x:c>
      <x:c r="AJ106" t="str">
        <x:f>IF(AH106="No sales: lower/pause","Waste",IF(AH106="Over target: reduce","Inefficient",IF(AH106="At/under target: scale/hold","Efficient",IF(AND(O106&gt;=1000,Q106=0),"High imp/no click","Data gathering"))))</x:f>
        <x:v>Data gathering</x:v>
      </x:c>
    </x:row>
    <x:row r="107">
      <x:c r="A107" t="s">
        <x:v>22</x:v>
      </x:c>
      <x:c r="B107" t="s">
        <x:v>166</x:v>
      </x:c>
      <x:c r="C107" t="s">
        <x:v>22</x:v>
      </x:c>
      <x:c r="D107" t="s">
        <x:v>24</x:v>
      </x:c>
      <x:c r="E107" t="s">
        <x:v>63</x:v>
      </x:c>
      <x:c r="F107" t="s">
        <x:v>26</x:v>
      </x:c>
      <x:c r="G107" t="s">
        <x:v>27</x:v>
      </x:c>
      <x:c r="H107" t="s">
        <x:v>174</x:v>
      </x:c>
      <x:c r="I107">
        <x:v>1</x:v>
      </x:c>
      <x:c r="L107">
        <x:v>0</x:v>
      </x:c>
      <x:c r="M107">
        <x:v>1.93</x:v>
      </x:c>
      <x:c r="N107">
        <x:v>7.14</x:v>
      </x:c>
      <x:c r="O107">
        <x:v>1</x:v>
      </x:c>
      <x:c r="P107">
        <x:v>0</x:v>
      </x:c>
      <x:c r="Q107">
        <x:v>0</x:v>
      </x:c>
      <x:c r="R107" s="10">
        <x:v>0</x:v>
      </x:c>
      <x:c r="S107">
        <x:v>0</x:v>
      </x:c>
      <x:c r="T107">
        <x:v>0</x:v>
      </x:c>
      <x:c r="U107" s="10">
        <x:v>0</x:v>
      </x:c>
      <x:c r="W107" s="11" t="n">
        <x:f>Summary!$B$2</x:f>
        <x:v>0.15</x:v>
      </x:c>
      <x:c r="X107" s="11" t="n">
        <x:f>IFERROR(AD107-Summary!$B$2,"")</x:f>
        <x:v>-0.15</x:v>
      </x:c>
      <x:c r="Y107" s="10" t="str">
        <x:f>IFERROR((U107/Q107)*Summary!$B$2,"")</x:f>
      </x:c>
      <x:c r="Z107" s="12" t="n">
        <x:f>IFERROR(Q107/O107,0)</x:f>
        <x:v>0</x:v>
      </x:c>
      <x:c r="AA107" s="12" t="n">
        <x:f>IFERROR(T107/Q107,0)</x:f>
        <x:v>0</x:v>
      </x:c>
      <x:c r="AB107" s="10" t="n">
        <x:f>IFERROR(R107/Q107,0)</x:f>
        <x:v>0</x:v>
      </x:c>
      <x:c r="AC107" s="10" t="n">
        <x:f>IFERROR(U107/R107,0)</x:f>
        <x:v>0</x:v>
      </x:c>
      <x:c r="AD107" s="12" t="n">
        <x:f>IFERROR(R107/U107,0)</x:f>
        <x:v>0</x:v>
      </x:c>
      <x:c r="AE107" s="10" t="n">
        <x:f>IFERROR(U107/Q107,0)</x:f>
        <x:v>0</x:v>
      </x:c>
      <x:c r="AF107" s="10" t="n">
        <x:f>IF(Q107=0,M107,IF(U107=0,IF(Q107&gt;=10,MAX(0.02,M107*0.7),M107),IF(AD107=0,M107,MAX(0.02,IF(AD107&gt;Summary!$B$2,M107*Summary!$B$2/AD107,MIN(M107*1.2,M107*Summary!$B$2/AD107))))))</x:f>
        <x:v>1.93</x:v>
      </x:c>
      <x:c r="AG107" s="11" t="n">
        <x:f>IFERROR(AF107/M107-1,0)</x:f>
        <x:v>0</x:v>
      </x:c>
      <x:c r="AH107" t="str">
        <x:f>IF(Q107=0,"Need clicks",IF(AND(U107=0,Q107&gt;=10),"No sales: lower/pause",IF(AND(AD107&gt;Summary!$B$2,T107&gt;0),"Over target: reduce",IF(AND(AD107&lt;=Summary!$B$2,T107&gt;0),"At/under target: scale/hold",IF(AND(Q107&gt;0,T107=0),"Collect data","Review")))))</x:f>
        <x:v>Need clicks</x:v>
      </x:c>
      <x:c r="AI107" s="10" t="n">
        <x:f>IFERROR(IF(U107=0,R107,MAX(0,R107-(U107*Summary!$B$2))),0)</x:f>
        <x:v>0</x:v>
      </x:c>
      <x:c r="AJ107" t="str">
        <x:f>IF(AH107="No sales: lower/pause","Waste",IF(AH107="Over target: reduce","Inefficient",IF(AH107="At/under target: scale/hold","Efficient",IF(AND(O107&gt;=1000,Q107=0),"High imp/no click","Data gathering"))))</x:f>
        <x:v>Data gathering</x:v>
      </x:c>
    </x:row>
    <x:row r="108">
      <x:c r="A108" t="s">
        <x:v>22</x:v>
      </x:c>
      <x:c r="B108" t="s">
        <x:v>179</x:v>
      </x:c>
      <x:c r="C108" t="s">
        <x:v>22</x:v>
      </x:c>
      <x:c r="D108" t="s">
        <x:v>24</x:v>
      </x:c>
      <x:c r="E108" t="s">
        <x:v>63</x:v>
      </x:c>
      <x:c r="F108" t="s">
        <x:v>26</x:v>
      </x:c>
      <x:c r="G108" t="s">
        <x:v>27</x:v>
      </x:c>
      <x:c r="H108" t="s">
        <x:v>180</x:v>
      </x:c>
      <x:c r="I108">
        <x:v>1</x:v>
      </x:c>
      <x:c r="L108">
        <x:v>0</x:v>
      </x:c>
      <x:c r="M108">
        <x:v>0.12</x:v>
      </x:c>
      <x:c r="N108">
        <x:v>6.76</x:v>
      </x:c>
      <x:c r="O108">
        <x:v>1</x:v>
      </x:c>
      <x:c r="P108">
        <x:v>0</x:v>
      </x:c>
      <x:c r="Q108">
        <x:v>0</x:v>
      </x:c>
      <x:c r="R108" s="10">
        <x:v>0</x:v>
      </x:c>
      <x:c r="S108">
        <x:v>0</x:v>
      </x:c>
      <x:c r="T108">
        <x:v>0</x:v>
      </x:c>
      <x:c r="U108" s="10">
        <x:v>0</x:v>
      </x:c>
      <x:c r="W108" s="11" t="n">
        <x:f>Summary!$B$2</x:f>
        <x:v>0.15</x:v>
      </x:c>
      <x:c r="X108" s="11" t="n">
        <x:f>IFERROR(AD108-Summary!$B$2,"")</x:f>
        <x:v>-0.15</x:v>
      </x:c>
      <x:c r="Y108" s="10" t="str">
        <x:f>IFERROR((U108/Q108)*Summary!$B$2,"")</x:f>
      </x:c>
      <x:c r="Z108" s="12" t="n">
        <x:f>IFERROR(Q108/O108,0)</x:f>
        <x:v>0</x:v>
      </x:c>
      <x:c r="AA108" s="12" t="n">
        <x:f>IFERROR(T108/Q108,0)</x:f>
        <x:v>0</x:v>
      </x:c>
      <x:c r="AB108" s="10" t="n">
        <x:f>IFERROR(R108/Q108,0)</x:f>
        <x:v>0</x:v>
      </x:c>
      <x:c r="AC108" s="10" t="n">
        <x:f>IFERROR(U108/R108,0)</x:f>
        <x:v>0</x:v>
      </x:c>
      <x:c r="AD108" s="12" t="n">
        <x:f>IFERROR(R108/U108,0)</x:f>
        <x:v>0</x:v>
      </x:c>
      <x:c r="AE108" s="10" t="n">
        <x:f>IFERROR(U108/Q108,0)</x:f>
        <x:v>0</x:v>
      </x:c>
      <x:c r="AF108" s="10" t="n">
        <x:f>IF(Q108=0,M108,IF(U108=0,IF(Q108&gt;=10,MAX(0.02,M108*0.7),M108),IF(AD108=0,M108,MAX(0.02,IF(AD108&gt;Summary!$B$2,M108*Summary!$B$2/AD108,MIN(M108*1.2,M108*Summary!$B$2/AD108))))))</x:f>
        <x:v>0.12</x:v>
      </x:c>
      <x:c r="AG108" s="11" t="n">
        <x:f>IFERROR(AF108/M108-1,0)</x:f>
        <x:v>0</x:v>
      </x:c>
      <x:c r="AH108" t="str">
        <x:f>IF(Q108=0,"Need clicks",IF(AND(U108=0,Q108&gt;=10),"No sales: lower/pause",IF(AND(AD108&gt;Summary!$B$2,T108&gt;0),"Over target: reduce",IF(AND(AD108&lt;=Summary!$B$2,T108&gt;0),"At/under target: scale/hold",IF(AND(Q108&gt;0,T108=0),"Collect data","Review")))))</x:f>
        <x:v>Need clicks</x:v>
      </x:c>
      <x:c r="AI108" s="10" t="n">
        <x:f>IFERROR(IF(U108=0,R108,MAX(0,R108-(U108*Summary!$B$2))),0)</x:f>
        <x:v>0</x:v>
      </x:c>
      <x:c r="AJ108" t="str">
        <x:f>IF(AH108="No sales: lower/pause","Waste",IF(AH108="Over target: reduce","Inefficient",IF(AH108="At/under target: scale/hold","Efficient",IF(AND(O108&gt;=1000,Q108=0),"High imp/no click","Data gathering"))))</x:f>
        <x:v>Data gathering</x:v>
      </x:c>
    </x:row>
    <x:row r="109">
      <x:c r="A109" t="s">
        <x:v>22</x:v>
      </x:c>
      <x:c r="B109" t="s">
        <x:v>181</x:v>
      </x:c>
      <x:c r="C109" t="s">
        <x:v>22</x:v>
      </x:c>
      <x:c r="D109" t="s">
        <x:v>24</x:v>
      </x:c>
      <x:c r="E109" t="s">
        <x:v>63</x:v>
      </x:c>
      <x:c r="F109" t="s">
        <x:v>26</x:v>
      </x:c>
      <x:c r="G109" t="s">
        <x:v>27</x:v>
      </x:c>
      <x:c r="H109" t="s">
        <x:v>180</x:v>
      </x:c>
      <x:c r="I109">
        <x:v>1</x:v>
      </x:c>
      <x:c r="L109">
        <x:v>0</x:v>
      </x:c>
      <x:c r="M109">
        <x:v>0.16</x:v>
      </x:c>
      <x:c r="N109">
        <x:v>7.14</x:v>
      </x:c>
      <x:c r="O109">
        <x:v>16</x:v>
      </x:c>
      <x:c r="P109">
        <x:v>0</x:v>
      </x:c>
      <x:c r="Q109">
        <x:v>0</x:v>
      </x:c>
      <x:c r="R109" s="10">
        <x:v>0</x:v>
      </x:c>
      <x:c r="S109">
        <x:v>0</x:v>
      </x:c>
      <x:c r="T109">
        <x:v>0</x:v>
      </x:c>
      <x:c r="U109" s="10">
        <x:v>0</x:v>
      </x:c>
      <x:c r="W109" s="11" t="n">
        <x:f>Summary!$B$2</x:f>
        <x:v>0.15</x:v>
      </x:c>
      <x:c r="X109" s="11" t="n">
        <x:f>IFERROR(AD109-Summary!$B$2,"")</x:f>
        <x:v>-0.15</x:v>
      </x:c>
      <x:c r="Y109" s="10" t="str">
        <x:f>IFERROR((U109/Q109)*Summary!$B$2,"")</x:f>
      </x:c>
      <x:c r="Z109" s="12" t="n">
        <x:f>IFERROR(Q109/O109,0)</x:f>
        <x:v>0</x:v>
      </x:c>
      <x:c r="AA109" s="12" t="n">
        <x:f>IFERROR(T109/Q109,0)</x:f>
        <x:v>0</x:v>
      </x:c>
      <x:c r="AB109" s="10" t="n">
        <x:f>IFERROR(R109/Q109,0)</x:f>
        <x:v>0</x:v>
      </x:c>
      <x:c r="AC109" s="10" t="n">
        <x:f>IFERROR(U109/R109,0)</x:f>
        <x:v>0</x:v>
      </x:c>
      <x:c r="AD109" s="12" t="n">
        <x:f>IFERROR(R109/U109,0)</x:f>
        <x:v>0</x:v>
      </x:c>
      <x:c r="AE109" s="10" t="n">
        <x:f>IFERROR(U109/Q109,0)</x:f>
        <x:v>0</x:v>
      </x:c>
      <x:c r="AF109" s="10" t="n">
        <x:f>IF(Q109=0,M109,IF(U109=0,IF(Q109&gt;=10,MAX(0.02,M109*0.7),M109),IF(AD109=0,M109,MAX(0.02,IF(AD109&gt;Summary!$B$2,M109*Summary!$B$2/AD109,MIN(M109*1.2,M109*Summary!$B$2/AD109))))))</x:f>
        <x:v>0.16</x:v>
      </x:c>
      <x:c r="AG109" s="11" t="n">
        <x:f>IFERROR(AF109/M109-1,0)</x:f>
        <x:v>0</x:v>
      </x:c>
      <x:c r="AH109" t="str">
        <x:f>IF(Q109=0,"Need clicks",IF(AND(U109=0,Q109&gt;=10),"No sales: lower/pause",IF(AND(AD109&gt;Summary!$B$2,T109&gt;0),"Over target: reduce",IF(AND(AD109&lt;=Summary!$B$2,T109&gt;0),"At/under target: scale/hold",IF(AND(Q109&gt;0,T109=0),"Collect data","Review")))))</x:f>
        <x:v>Need clicks</x:v>
      </x:c>
      <x:c r="AI109" s="10" t="n">
        <x:f>IFERROR(IF(U109=0,R109,MAX(0,R109-(U109*Summary!$B$2))),0)</x:f>
        <x:v>0</x:v>
      </x:c>
      <x:c r="AJ109" t="str">
        <x:f>IF(AH109="No sales: lower/pause","Waste",IF(AH109="Over target: reduce","Inefficient",IF(AH109="At/under target: scale/hold","Efficient",IF(AND(O109&gt;=1000,Q109=0),"High imp/no click","Data gathering"))))</x:f>
        <x:v>Data gathering</x:v>
      </x:c>
    </x:row>
    <x:row r="110">
      <x:c r="A110" t="s">
        <x:v>22</x:v>
      </x:c>
      <x:c r="B110" t="s">
        <x:v>182</x:v>
      </x:c>
      <x:c r="C110" t="s">
        <x:v>22</x:v>
      </x:c>
      <x:c r="D110" t="s">
        <x:v>24</x:v>
      </x:c>
      <x:c r="E110" t="s">
        <x:v>63</x:v>
      </x:c>
      <x:c r="F110" t="s">
        <x:v>26</x:v>
      </x:c>
      <x:c r="G110" t="s">
        <x:v>27</x:v>
      </x:c>
      <x:c r="H110" t="s">
        <x:v>180</x:v>
      </x:c>
      <x:c r="I110">
        <x:v>1</x:v>
      </x:c>
      <x:c r="L110">
        <x:v>0</x:v>
      </x:c>
      <x:c r="M110">
        <x:v>7.0000000000000007E-2</x:v>
      </x:c>
      <x:c r="N110">
        <x:v>1.1399999999999999</x:v>
      </x:c>
      <x:c r="O110">
        <x:v>2</x:v>
      </x:c>
      <x:c r="P110">
        <x:v>0</x:v>
      </x:c>
      <x:c r="Q110">
        <x:v>0</x:v>
      </x:c>
      <x:c r="R110" s="10">
        <x:v>0</x:v>
      </x:c>
      <x:c r="S110">
        <x:v>0</x:v>
      </x:c>
      <x:c r="T110">
        <x:v>0</x:v>
      </x:c>
      <x:c r="U110" s="10">
        <x:v>0</x:v>
      </x:c>
      <x:c r="W110" s="11" t="n">
        <x:f>Summary!$B$2</x:f>
        <x:v>0.15</x:v>
      </x:c>
      <x:c r="X110" s="11" t="n">
        <x:f>IFERROR(AD110-Summary!$B$2,"")</x:f>
        <x:v>-0.15</x:v>
      </x:c>
      <x:c r="Y110" s="10" t="str">
        <x:f>IFERROR((U110/Q110)*Summary!$B$2,"")</x:f>
      </x:c>
      <x:c r="Z110" s="12" t="n">
        <x:f>IFERROR(Q110/O110,0)</x:f>
        <x:v>0</x:v>
      </x:c>
      <x:c r="AA110" s="12" t="n">
        <x:f>IFERROR(T110/Q110,0)</x:f>
        <x:v>0</x:v>
      </x:c>
      <x:c r="AB110" s="10" t="n">
        <x:f>IFERROR(R110/Q110,0)</x:f>
        <x:v>0</x:v>
      </x:c>
      <x:c r="AC110" s="10" t="n">
        <x:f>IFERROR(U110/R110,0)</x:f>
        <x:v>0</x:v>
      </x:c>
      <x:c r="AD110" s="12" t="n">
        <x:f>IFERROR(R110/U110,0)</x:f>
        <x:v>0</x:v>
      </x:c>
      <x:c r="AE110" s="10" t="n">
        <x:f>IFERROR(U110/Q110,0)</x:f>
        <x:v>0</x:v>
      </x:c>
      <x:c r="AF110" s="10" t="n">
        <x:f>IF(Q110=0,M110,IF(U110=0,IF(Q110&gt;=10,MAX(0.02,M110*0.7),M110),IF(AD110=0,M110,MAX(0.02,IF(AD110&gt;Summary!$B$2,M110*Summary!$B$2/AD110,MIN(M110*1.2,M110*Summary!$B$2/AD110))))))</x:f>
        <x:v>0.07</x:v>
      </x:c>
      <x:c r="AG110" s="11" t="n">
        <x:f>IFERROR(AF110/M110-1,0)</x:f>
        <x:v>0</x:v>
      </x:c>
      <x:c r="AH110" t="str">
        <x:f>IF(Q110=0,"Need clicks",IF(AND(U110=0,Q110&gt;=10),"No sales: lower/pause",IF(AND(AD110&gt;Summary!$B$2,T110&gt;0),"Over target: reduce",IF(AND(AD110&lt;=Summary!$B$2,T110&gt;0),"At/under target: scale/hold",IF(AND(Q110&gt;0,T110=0),"Collect data","Review")))))</x:f>
        <x:v>Need clicks</x:v>
      </x:c>
      <x:c r="AI110" s="10" t="n">
        <x:f>IFERROR(IF(U110=0,R110,MAX(0,R110-(U110*Summary!$B$2))),0)</x:f>
        <x:v>0</x:v>
      </x:c>
      <x:c r="AJ110" t="str">
        <x:f>IF(AH110="No sales: lower/pause","Waste",IF(AH110="Over target: reduce","Inefficient",IF(AH110="At/under target: scale/hold","Efficient",IF(AND(O110&gt;=1000,Q110=0),"High imp/no click","Data gathering"))))</x:f>
        <x:v>Data gathering</x:v>
      </x:c>
    </x:row>
    <x:row r="111">
      <x:c r="A111" t="s">
        <x:v>22</x:v>
      </x:c>
      <x:c r="B111" t="s">
        <x:v>183</x:v>
      </x:c>
      <x:c r="C111" t="s">
        <x:v>22</x:v>
      </x:c>
      <x:c r="D111" t="s">
        <x:v>24</x:v>
      </x:c>
      <x:c r="E111" t="s">
        <x:v>63</x:v>
      </x:c>
      <x:c r="F111" t="s">
        <x:v>26</x:v>
      </x:c>
      <x:c r="G111" t="s">
        <x:v>27</x:v>
      </x:c>
      <x:c r="H111" t="s">
        <x:v>180</x:v>
      </x:c>
      <x:c r="I111">
        <x:v>1</x:v>
      </x:c>
      <x:c r="L111">
        <x:v>0</x:v>
      </x:c>
      <x:c r="M111">
        <x:v>0.37</x:v>
      </x:c>
      <x:c r="N111">
        <x:v>2.41</x:v>
      </x:c>
      <x:c r="O111">
        <x:v>1</x:v>
      </x:c>
      <x:c r="P111">
        <x:v>0</x:v>
      </x:c>
      <x:c r="Q111">
        <x:v>0</x:v>
      </x:c>
      <x:c r="R111" s="10">
        <x:v>0</x:v>
      </x:c>
      <x:c r="S111">
        <x:v>0</x:v>
      </x:c>
      <x:c r="T111">
        <x:v>0</x:v>
      </x:c>
      <x:c r="U111" s="10">
        <x:v>0</x:v>
      </x:c>
      <x:c r="W111" s="11" t="n">
        <x:f>Summary!$B$2</x:f>
        <x:v>0.15</x:v>
      </x:c>
      <x:c r="X111" s="11" t="n">
        <x:f>IFERROR(AD111-Summary!$B$2,"")</x:f>
        <x:v>-0.15</x:v>
      </x:c>
      <x:c r="Y111" s="10" t="str">
        <x:f>IFERROR((U111/Q111)*Summary!$B$2,"")</x:f>
      </x:c>
      <x:c r="Z111" s="12" t="n">
        <x:f>IFERROR(Q111/O111,0)</x:f>
        <x:v>0</x:v>
      </x:c>
      <x:c r="AA111" s="12" t="n">
        <x:f>IFERROR(T111/Q111,0)</x:f>
        <x:v>0</x:v>
      </x:c>
      <x:c r="AB111" s="10" t="n">
        <x:f>IFERROR(R111/Q111,0)</x:f>
        <x:v>0</x:v>
      </x:c>
      <x:c r="AC111" s="10" t="n">
        <x:f>IFERROR(U111/R111,0)</x:f>
        <x:v>0</x:v>
      </x:c>
      <x:c r="AD111" s="12" t="n">
        <x:f>IFERROR(R111/U111,0)</x:f>
        <x:v>0</x:v>
      </x:c>
      <x:c r="AE111" s="10" t="n">
        <x:f>IFERROR(U111/Q111,0)</x:f>
        <x:v>0</x:v>
      </x:c>
      <x:c r="AF111" s="10" t="n">
        <x:f>IF(Q111=0,M111,IF(U111=0,IF(Q111&gt;=10,MAX(0.02,M111*0.7),M111),IF(AD111=0,M111,MAX(0.02,IF(AD111&gt;Summary!$B$2,M111*Summary!$B$2/AD111,MIN(M111*1.2,M111*Summary!$B$2/AD111))))))</x:f>
        <x:v>0.37</x:v>
      </x:c>
      <x:c r="AG111" s="11" t="n">
        <x:f>IFERROR(AF111/M111-1,0)</x:f>
        <x:v>0</x:v>
      </x:c>
      <x:c r="AH111" t="str">
        <x:f>IF(Q111=0,"Need clicks",IF(AND(U111=0,Q111&gt;=10),"No sales: lower/pause",IF(AND(AD111&gt;Summary!$B$2,T111&gt;0),"Over target: reduce",IF(AND(AD111&lt;=Summary!$B$2,T111&gt;0),"At/under target: scale/hold",IF(AND(Q111&gt;0,T111=0),"Collect data","Review")))))</x:f>
        <x:v>Need clicks</x:v>
      </x:c>
      <x:c r="AI111" s="10" t="n">
        <x:f>IFERROR(IF(U111=0,R111,MAX(0,R111-(U111*Summary!$B$2))),0)</x:f>
        <x:v>0</x:v>
      </x:c>
      <x:c r="AJ111" t="str">
        <x:f>IF(AH111="No sales: lower/pause","Waste",IF(AH111="Over target: reduce","Inefficient",IF(AH111="At/under target: scale/hold","Efficient",IF(AND(O111&gt;=1000,Q111=0),"High imp/no click","Data gathering"))))</x:f>
        <x:v>Data gathering</x:v>
      </x:c>
    </x:row>
    <x:row r="112">
      <x:c r="A112" t="s">
        <x:v>22</x:v>
      </x:c>
      <x:c r="B112" t="s">
        <x:v>113</x:v>
      </x:c>
      <x:c r="C112" t="s">
        <x:v>22</x:v>
      </x:c>
      <x:c r="D112" t="s">
        <x:v>24</x:v>
      </x:c>
      <x:c r="E112" t="s">
        <x:v>63</x:v>
      </x:c>
      <x:c r="F112" t="s">
        <x:v>26</x:v>
      </x:c>
      <x:c r="G112" t="s">
        <x:v>27</x:v>
      </x:c>
      <x:c r="H112" t="s">
        <x:v>180</x:v>
      </x:c>
      <x:c r="I112">
        <x:v>1</x:v>
      </x:c>
      <x:c r="L112">
        <x:v>0</x:v>
      </x:c>
      <x:c r="M112">
        <x:v>0.71</x:v>
      </x:c>
      <x:c r="N112">
        <x:v>3.84</x:v>
      </x:c>
      <x:c r="O112">
        <x:v>7</x:v>
      </x:c>
      <x:c r="P112">
        <x:v>0</x:v>
      </x:c>
      <x:c r="Q112">
        <x:v>0</x:v>
      </x:c>
      <x:c r="R112" s="10">
        <x:v>0</x:v>
      </x:c>
      <x:c r="S112">
        <x:v>0</x:v>
      </x:c>
      <x:c r="T112">
        <x:v>0</x:v>
      </x:c>
      <x:c r="U112" s="10">
        <x:v>0</x:v>
      </x:c>
      <x:c r="W112" s="11" t="n">
        <x:f>Summary!$B$2</x:f>
        <x:v>0.15</x:v>
      </x:c>
      <x:c r="X112" s="11" t="n">
        <x:f>IFERROR(AD112-Summary!$B$2,"")</x:f>
        <x:v>-0.15</x:v>
      </x:c>
      <x:c r="Y112" s="10" t="str">
        <x:f>IFERROR((U112/Q112)*Summary!$B$2,"")</x:f>
      </x:c>
      <x:c r="Z112" s="12" t="n">
        <x:f>IFERROR(Q112/O112,0)</x:f>
        <x:v>0</x:v>
      </x:c>
      <x:c r="AA112" s="12" t="n">
        <x:f>IFERROR(T112/Q112,0)</x:f>
        <x:v>0</x:v>
      </x:c>
      <x:c r="AB112" s="10" t="n">
        <x:f>IFERROR(R112/Q112,0)</x:f>
        <x:v>0</x:v>
      </x:c>
      <x:c r="AC112" s="10" t="n">
        <x:f>IFERROR(U112/R112,0)</x:f>
        <x:v>0</x:v>
      </x:c>
      <x:c r="AD112" s="12" t="n">
        <x:f>IFERROR(R112/U112,0)</x:f>
        <x:v>0</x:v>
      </x:c>
      <x:c r="AE112" s="10" t="n">
        <x:f>IFERROR(U112/Q112,0)</x:f>
        <x:v>0</x:v>
      </x:c>
      <x:c r="AF112" s="10" t="n">
        <x:f>IF(Q112=0,M112,IF(U112=0,IF(Q112&gt;=10,MAX(0.02,M112*0.7),M112),IF(AD112=0,M112,MAX(0.02,IF(AD112&gt;Summary!$B$2,M112*Summary!$B$2/AD112,MIN(M112*1.2,M112*Summary!$B$2/AD112))))))</x:f>
        <x:v>0.71</x:v>
      </x:c>
      <x:c r="AG112" s="11" t="n">
        <x:f>IFERROR(AF112/M112-1,0)</x:f>
        <x:v>0</x:v>
      </x:c>
      <x:c r="AH112" t="str">
        <x:f>IF(Q112=0,"Need clicks",IF(AND(U112=0,Q112&gt;=10),"No sales: lower/pause",IF(AND(AD112&gt;Summary!$B$2,T112&gt;0),"Over target: reduce",IF(AND(AD112&lt;=Summary!$B$2,T112&gt;0),"At/under target: scale/hold",IF(AND(Q112&gt;0,T112=0),"Collect data","Review")))))</x:f>
        <x:v>Need clicks</x:v>
      </x:c>
      <x:c r="AI112" s="10" t="n">
        <x:f>IFERROR(IF(U112=0,R112,MAX(0,R112-(U112*Summary!$B$2))),0)</x:f>
        <x:v>0</x:v>
      </x:c>
      <x:c r="AJ112" t="str">
        <x:f>IF(AH112="No sales: lower/pause","Waste",IF(AH112="Over target: reduce","Inefficient",IF(AH112="At/under target: scale/hold","Efficient",IF(AND(O112&gt;=1000,Q112=0),"High imp/no click","Data gathering"))))</x:f>
        <x:v>Data gathering</x:v>
      </x:c>
    </x:row>
    <x:row r="113">
      <x:c r="A113" t="s">
        <x:v>22</x:v>
      </x:c>
      <x:c r="B113" t="s">
        <x:v>112</x:v>
      </x:c>
      <x:c r="C113" t="s">
        <x:v>22</x:v>
      </x:c>
      <x:c r="D113" t="s">
        <x:v>24</x:v>
      </x:c>
      <x:c r="E113" t="s">
        <x:v>63</x:v>
      </x:c>
      <x:c r="F113" t="s">
        <x:v>26</x:v>
      </x:c>
      <x:c r="G113" t="s">
        <x:v>27</x:v>
      </x:c>
      <x:c r="H113" t="s">
        <x:v>180</x:v>
      </x:c>
      <x:c r="I113">
        <x:v>1</x:v>
      </x:c>
      <x:c r="L113">
        <x:v>0</x:v>
      </x:c>
      <x:c r="M113">
        <x:v>1.2</x:v>
      </x:c>
      <x:c r="N113">
        <x:v>3.4</x:v>
      </x:c>
      <x:c r="O113">
        <x:v>188</x:v>
      </x:c>
      <x:c r="P113">
        <x:v>0</x:v>
      </x:c>
      <x:c r="Q113">
        <x:v>0</x:v>
      </x:c>
      <x:c r="R113" s="10">
        <x:v>0</x:v>
      </x:c>
      <x:c r="S113">
        <x:v>0</x:v>
      </x:c>
      <x:c r="T113">
        <x:v>0</x:v>
      </x:c>
      <x:c r="U113" s="10">
        <x:v>0</x:v>
      </x:c>
      <x:c r="W113" s="11" t="n">
        <x:f>Summary!$B$2</x:f>
        <x:v>0.15</x:v>
      </x:c>
      <x:c r="X113" s="11" t="n">
        <x:f>IFERROR(AD113-Summary!$B$2,"")</x:f>
        <x:v>-0.15</x:v>
      </x:c>
      <x:c r="Y113" s="10" t="str">
        <x:f>IFERROR((U113/Q113)*Summary!$B$2,"")</x:f>
      </x:c>
      <x:c r="Z113" s="12" t="n">
        <x:f>IFERROR(Q113/O113,0)</x:f>
        <x:v>0</x:v>
      </x:c>
      <x:c r="AA113" s="12" t="n">
        <x:f>IFERROR(T113/Q113,0)</x:f>
        <x:v>0</x:v>
      </x:c>
      <x:c r="AB113" s="10" t="n">
        <x:f>IFERROR(R113/Q113,0)</x:f>
        <x:v>0</x:v>
      </x:c>
      <x:c r="AC113" s="10" t="n">
        <x:f>IFERROR(U113/R113,0)</x:f>
        <x:v>0</x:v>
      </x:c>
      <x:c r="AD113" s="12" t="n">
        <x:f>IFERROR(R113/U113,0)</x:f>
        <x:v>0</x:v>
      </x:c>
      <x:c r="AE113" s="10" t="n">
        <x:f>IFERROR(U113/Q113,0)</x:f>
        <x:v>0</x:v>
      </x:c>
      <x:c r="AF113" s="10" t="n">
        <x:f>IF(Q113=0,M113,IF(U113=0,IF(Q113&gt;=10,MAX(0.02,M113*0.7),M113),IF(AD113=0,M113,MAX(0.02,IF(AD113&gt;Summary!$B$2,M113*Summary!$B$2/AD113,MIN(M113*1.2,M113*Summary!$B$2/AD113))))))</x:f>
        <x:v>1.2</x:v>
      </x:c>
      <x:c r="AG113" s="11" t="n">
        <x:f>IFERROR(AF113/M113-1,0)</x:f>
        <x:v>0</x:v>
      </x:c>
      <x:c r="AH113" t="str">
        <x:f>IF(Q113=0,"Need clicks",IF(AND(U113=0,Q113&gt;=10),"No sales: lower/pause",IF(AND(AD113&gt;Summary!$B$2,T113&gt;0),"Over target: reduce",IF(AND(AD113&lt;=Summary!$B$2,T113&gt;0),"At/under target: scale/hold",IF(AND(Q113&gt;0,T113=0),"Collect data","Review")))))</x:f>
        <x:v>Need clicks</x:v>
      </x:c>
      <x:c r="AI113" s="10" t="n">
        <x:f>IFERROR(IF(U113=0,R113,MAX(0,R113-(U113*Summary!$B$2))),0)</x:f>
        <x:v>0</x:v>
      </x:c>
      <x:c r="AJ113" t="str">
        <x:f>IF(AH113="No sales: lower/pause","Waste",IF(AH113="Over target: reduce","Inefficient",IF(AH113="At/under target: scale/hold","Efficient",IF(AND(O113&gt;=1000,Q113=0),"High imp/no click","Data gathering"))))</x:f>
        <x:v>Data gathering</x:v>
      </x:c>
    </x:row>
    <x:row r="114">
      <x:c r="A114" t="s">
        <x:v>22</x:v>
      </x:c>
      <x:c r="B114" t="s">
        <x:v>49</x:v>
      </x:c>
      <x:c r="C114" t="s">
        <x:v>22</x:v>
      </x:c>
      <x:c r="D114" t="s">
        <x:v>24</x:v>
      </x:c>
      <x:c r="E114" t="s">
        <x:v>63</x:v>
      </x:c>
      <x:c r="F114" t="s">
        <x:v>26</x:v>
      </x:c>
      <x:c r="G114" t="s">
        <x:v>27</x:v>
      </x:c>
      <x:c r="H114" t="s">
        <x:v>180</x:v>
      </x:c>
      <x:c r="I114">
        <x:v>1</x:v>
      </x:c>
      <x:c r="L114">
        <x:v>0</x:v>
      </x:c>
      <x:c r="M114">
        <x:v>1.39</x:v>
      </x:c>
      <x:c r="N114">
        <x:v>1.93</x:v>
      </x:c>
      <x:c r="O114">
        <x:v>23</x:v>
      </x:c>
      <x:c r="P114">
        <x:v>0</x:v>
      </x:c>
      <x:c r="Q114">
        <x:v>0</x:v>
      </x:c>
      <x:c r="R114" s="10">
        <x:v>0</x:v>
      </x:c>
      <x:c r="S114">
        <x:v>0</x:v>
      </x:c>
      <x:c r="T114">
        <x:v>0</x:v>
      </x:c>
      <x:c r="U114" s="10">
        <x:v>0</x:v>
      </x:c>
      <x:c r="W114" s="11" t="n">
        <x:f>Summary!$B$2</x:f>
        <x:v>0.15</x:v>
      </x:c>
      <x:c r="X114" s="11" t="n">
        <x:f>IFERROR(AD114-Summary!$B$2,"")</x:f>
        <x:v>-0.15</x:v>
      </x:c>
      <x:c r="Y114" s="10" t="str">
        <x:f>IFERROR((U114/Q114)*Summary!$B$2,"")</x:f>
      </x:c>
      <x:c r="Z114" s="12" t="n">
        <x:f>IFERROR(Q114/O114,0)</x:f>
        <x:v>0</x:v>
      </x:c>
      <x:c r="AA114" s="12" t="n">
        <x:f>IFERROR(T114/Q114,0)</x:f>
        <x:v>0</x:v>
      </x:c>
      <x:c r="AB114" s="10" t="n">
        <x:f>IFERROR(R114/Q114,0)</x:f>
        <x:v>0</x:v>
      </x:c>
      <x:c r="AC114" s="10" t="n">
        <x:f>IFERROR(U114/R114,0)</x:f>
        <x:v>0</x:v>
      </x:c>
      <x:c r="AD114" s="12" t="n">
        <x:f>IFERROR(R114/U114,0)</x:f>
        <x:v>0</x:v>
      </x:c>
      <x:c r="AE114" s="10" t="n">
        <x:f>IFERROR(U114/Q114,0)</x:f>
        <x:v>0</x:v>
      </x:c>
      <x:c r="AF114" s="10" t="n">
        <x:f>IF(Q114=0,M114,IF(U114=0,IF(Q114&gt;=10,MAX(0.02,M114*0.7),M114),IF(AD114=0,M114,MAX(0.02,IF(AD114&gt;Summary!$B$2,M114*Summary!$B$2/AD114,MIN(M114*1.2,M114*Summary!$B$2/AD114))))))</x:f>
        <x:v>1.39</x:v>
      </x:c>
      <x:c r="AG114" s="11" t="n">
        <x:f>IFERROR(AF114/M114-1,0)</x:f>
        <x:v>0</x:v>
      </x:c>
      <x:c r="AH114" t="str">
        <x:f>IF(Q114=0,"Need clicks",IF(AND(U114=0,Q114&gt;=10),"No sales: lower/pause",IF(AND(AD114&gt;Summary!$B$2,T114&gt;0),"Over target: reduce",IF(AND(AD114&lt;=Summary!$B$2,T114&gt;0),"At/under target: scale/hold",IF(AND(Q114&gt;0,T114=0),"Collect data","Review")))))</x:f>
        <x:v>Need clicks</x:v>
      </x:c>
      <x:c r="AI114" s="10" t="n">
        <x:f>IFERROR(IF(U114=0,R114,MAX(0,R114-(U114*Summary!$B$2))),0)</x:f>
        <x:v>0</x:v>
      </x:c>
      <x:c r="AJ114" t="str">
        <x:f>IF(AH114="No sales: lower/pause","Waste",IF(AH114="Over target: reduce","Inefficient",IF(AH114="At/under target: scale/hold","Efficient",IF(AND(O114&gt;=1000,Q114=0),"High imp/no click","Data gathering"))))</x:f>
        <x:v>Data gathering</x:v>
      </x:c>
    </x:row>
    <x:row r="115">
      <x:c r="A115" t="s">
        <x:v>22</x:v>
      </x:c>
      <x:c r="B115" t="s">
        <x:v>184</x:v>
      </x:c>
      <x:c r="C115" t="s">
        <x:v>22</x:v>
      </x:c>
      <x:c r="D115" t="s">
        <x:v>24</x:v>
      </x:c>
      <x:c r="E115" t="s">
        <x:v>63</x:v>
      </x:c>
      <x:c r="F115" t="s">
        <x:v>26</x:v>
      </x:c>
      <x:c r="G115" t="s">
        <x:v>27</x:v>
      </x:c>
      <x:c r="H115" t="s">
        <x:v>180</x:v>
      </x:c>
      <x:c r="I115">
        <x:v>1</x:v>
      </x:c>
      <x:c r="L115">
        <x:v>0</x:v>
      </x:c>
      <x:c r="M115">
        <x:v>1.46</x:v>
      </x:c>
      <x:c r="N115">
        <x:v>4.01</x:v>
      </x:c>
      <x:c r="O115">
        <x:v>2030</x:v>
      </x:c>
      <x:c r="P115">
        <x:v>2.5947548883328699E-2</x:v>
      </x:c>
      <x:c r="Q115">
        <x:v>0</x:v>
      </x:c>
      <x:c r="R115" s="10">
        <x:v>0</x:v>
      </x:c>
      <x:c r="S115">
        <x:v>0</x:v>
      </x:c>
      <x:c r="T115">
        <x:v>0</x:v>
      </x:c>
      <x:c r="U115" s="10">
        <x:v>0</x:v>
      </x:c>
      <x:c r="W115" s="11" t="n">
        <x:f>Summary!$B$2</x:f>
        <x:v>0.15</x:v>
      </x:c>
      <x:c r="X115" s="11" t="n">
        <x:f>IFERROR(AD115-Summary!$B$2,"")</x:f>
        <x:v>-0.15</x:v>
      </x:c>
      <x:c r="Y115" s="10" t="str">
        <x:f>IFERROR((U115/Q115)*Summary!$B$2,"")</x:f>
      </x:c>
      <x:c r="Z115" s="12" t="n">
        <x:f>IFERROR(Q115/O115,0)</x:f>
        <x:v>0</x:v>
      </x:c>
      <x:c r="AA115" s="12" t="n">
        <x:f>IFERROR(T115/Q115,0)</x:f>
        <x:v>0</x:v>
      </x:c>
      <x:c r="AB115" s="10" t="n">
        <x:f>IFERROR(R115/Q115,0)</x:f>
        <x:v>0</x:v>
      </x:c>
      <x:c r="AC115" s="10" t="n">
        <x:f>IFERROR(U115/R115,0)</x:f>
        <x:v>0</x:v>
      </x:c>
      <x:c r="AD115" s="12" t="n">
        <x:f>IFERROR(R115/U115,0)</x:f>
        <x:v>0</x:v>
      </x:c>
      <x:c r="AE115" s="10" t="n">
        <x:f>IFERROR(U115/Q115,0)</x:f>
        <x:v>0</x:v>
      </x:c>
      <x:c r="AF115" s="10" t="n">
        <x:f>IF(Q115=0,M115,IF(U115=0,IF(Q115&gt;=10,MAX(0.02,M115*0.7),M115),IF(AD115=0,M115,MAX(0.02,IF(AD115&gt;Summary!$B$2,M115*Summary!$B$2/AD115,MIN(M115*1.2,M115*Summary!$B$2/AD115))))))</x:f>
        <x:v>1.46</x:v>
      </x:c>
      <x:c r="AG115" s="11" t="n">
        <x:f>IFERROR(AF115/M115-1,0)</x:f>
        <x:v>0</x:v>
      </x:c>
      <x:c r="AH115" t="str">
        <x:f>IF(Q115=0,"Need clicks",IF(AND(U115=0,Q115&gt;=10),"No sales: lower/pause",IF(AND(AD115&gt;Summary!$B$2,T115&gt;0),"Over target: reduce",IF(AND(AD115&lt;=Summary!$B$2,T115&gt;0),"At/under target: scale/hold",IF(AND(Q115&gt;0,T115=0),"Collect data","Review")))))</x:f>
        <x:v>Need clicks</x:v>
      </x:c>
      <x:c r="AI115" s="10" t="n">
        <x:f>IFERROR(IF(U115=0,R115,MAX(0,R115-(U115*Summary!$B$2))),0)</x:f>
        <x:v>0</x:v>
      </x:c>
      <x:c r="AJ115" t="str">
        <x:f>IF(AH115="No sales: lower/pause","Waste",IF(AH115="Over target: reduce","Inefficient",IF(AH115="At/under target: scale/hold","Efficient",IF(AND(O115&gt;=1000,Q115=0),"High imp/no click","Data gathering"))))</x:f>
        <x:v>High imp/no click</x:v>
      </x:c>
    </x:row>
    <x:row r="116">
      <x:c r="A116" t="s">
        <x:v>22</x:v>
      </x:c>
      <x:c r="B116" t="s">
        <x:v>185</x:v>
      </x:c>
      <x:c r="C116" t="s">
        <x:v>22</x:v>
      </x:c>
      <x:c r="D116" t="s">
        <x:v>24</x:v>
      </x:c>
      <x:c r="E116" t="s">
        <x:v>63</x:v>
      </x:c>
      <x:c r="F116" t="s">
        <x:v>26</x:v>
      </x:c>
      <x:c r="G116" t="s">
        <x:v>27</x:v>
      </x:c>
      <x:c r="H116" t="s">
        <x:v>180</x:v>
      </x:c>
      <x:c r="I116">
        <x:v>1</x:v>
      </x:c>
      <x:c r="L116">
        <x:v>0</x:v>
      </x:c>
      <x:c r="M116">
        <x:v>1.21</x:v>
      </x:c>
      <x:c r="N116">
        <x:v>3.04</x:v>
      </x:c>
      <x:c r="O116">
        <x:v>236</x:v>
      </x:c>
      <x:c r="P116">
        <x:v>0</x:v>
      </x:c>
      <x:c r="Q116">
        <x:v>0</x:v>
      </x:c>
      <x:c r="R116" s="10">
        <x:v>0</x:v>
      </x:c>
      <x:c r="S116">
        <x:v>0</x:v>
      </x:c>
      <x:c r="T116">
        <x:v>0</x:v>
      </x:c>
      <x:c r="U116" s="10">
        <x:v>0</x:v>
      </x:c>
      <x:c r="W116" s="11" t="n">
        <x:f>Summary!$B$2</x:f>
        <x:v>0.15</x:v>
      </x:c>
      <x:c r="X116" s="11" t="n">
        <x:f>IFERROR(AD116-Summary!$B$2,"")</x:f>
        <x:v>-0.15</x:v>
      </x:c>
      <x:c r="Y116" s="10" t="str">
        <x:f>IFERROR((U116/Q116)*Summary!$B$2,"")</x:f>
      </x:c>
      <x:c r="Z116" s="12" t="n">
        <x:f>IFERROR(Q116/O116,0)</x:f>
        <x:v>0</x:v>
      </x:c>
      <x:c r="AA116" s="12" t="n">
        <x:f>IFERROR(T116/Q116,0)</x:f>
        <x:v>0</x:v>
      </x:c>
      <x:c r="AB116" s="10" t="n">
        <x:f>IFERROR(R116/Q116,0)</x:f>
        <x:v>0</x:v>
      </x:c>
      <x:c r="AC116" s="10" t="n">
        <x:f>IFERROR(U116/R116,0)</x:f>
        <x:v>0</x:v>
      </x:c>
      <x:c r="AD116" s="12" t="n">
        <x:f>IFERROR(R116/U116,0)</x:f>
        <x:v>0</x:v>
      </x:c>
      <x:c r="AE116" s="10" t="n">
        <x:f>IFERROR(U116/Q116,0)</x:f>
        <x:v>0</x:v>
      </x:c>
      <x:c r="AF116" s="10" t="n">
        <x:f>IF(Q116=0,M116,IF(U116=0,IF(Q116&gt;=10,MAX(0.02,M116*0.7),M116),IF(AD116=0,M116,MAX(0.02,IF(AD116&gt;Summary!$B$2,M116*Summary!$B$2/AD116,MIN(M116*1.2,M116*Summary!$B$2/AD116))))))</x:f>
        <x:v>1.21</x:v>
      </x:c>
      <x:c r="AG116" s="11" t="n">
        <x:f>IFERROR(AF116/M116-1,0)</x:f>
        <x:v>0</x:v>
      </x:c>
      <x:c r="AH116" t="str">
        <x:f>IF(Q116=0,"Need clicks",IF(AND(U116=0,Q116&gt;=10),"No sales: lower/pause",IF(AND(AD116&gt;Summary!$B$2,T116&gt;0),"Over target: reduce",IF(AND(AD116&lt;=Summary!$B$2,T116&gt;0),"At/under target: scale/hold",IF(AND(Q116&gt;0,T116=0),"Collect data","Review")))))</x:f>
        <x:v>Need clicks</x:v>
      </x:c>
      <x:c r="AI116" s="10" t="n">
        <x:f>IFERROR(IF(U116=0,R116,MAX(0,R116-(U116*Summary!$B$2))),0)</x:f>
        <x:v>0</x:v>
      </x:c>
      <x:c r="AJ116" t="str">
        <x:f>IF(AH116="No sales: lower/pause","Waste",IF(AH116="Over target: reduce","Inefficient",IF(AH116="At/under target: scale/hold","Efficient",IF(AND(O116&gt;=1000,Q116=0),"High imp/no click","Data gathering"))))</x:f>
        <x:v>Data gathering</x:v>
      </x:c>
    </x:row>
    <x:row r="117">
      <x:c r="A117" t="s">
        <x:v>22</x:v>
      </x:c>
      <x:c r="B117" t="s">
        <x:v>186</x:v>
      </x:c>
      <x:c r="C117" t="s">
        <x:v>22</x:v>
      </x:c>
      <x:c r="D117" t="s">
        <x:v>24</x:v>
      </x:c>
      <x:c r="E117" t="s">
        <x:v>63</x:v>
      </x:c>
      <x:c r="F117" t="s">
        <x:v>26</x:v>
      </x:c>
      <x:c r="G117" t="s">
        <x:v>27</x:v>
      </x:c>
      <x:c r="H117" t="s">
        <x:v>180</x:v>
      </x:c>
      <x:c r="I117">
        <x:v>1</x:v>
      </x:c>
      <x:c r="L117">
        <x:v>0</x:v>
      </x:c>
      <x:c r="M117">
        <x:v>1.1399999999999999</x:v>
      </x:c>
      <x:c r="N117">
        <x:v>2.72</x:v>
      </x:c>
      <x:c r="O117">
        <x:v>88</x:v>
      </x:c>
      <x:c r="P117" s="1" t="s">
        <x:v>187</x:v>
      </x:c>
      <x:c r="Q117">
        <x:v>0</x:v>
      </x:c>
      <x:c r="R117" s="10">
        <x:v>0</x:v>
      </x:c>
      <x:c r="S117">
        <x:v>0</x:v>
      </x:c>
      <x:c r="T117">
        <x:v>0</x:v>
      </x:c>
      <x:c r="U117" s="10">
        <x:v>0</x:v>
      </x:c>
      <x:c r="W117" s="11" t="n">
        <x:f>Summary!$B$2</x:f>
        <x:v>0.15</x:v>
      </x:c>
      <x:c r="X117" s="11" t="n">
        <x:f>IFERROR(AD117-Summary!$B$2,"")</x:f>
        <x:v>-0.15</x:v>
      </x:c>
      <x:c r="Y117" s="10" t="str">
        <x:f>IFERROR((U117/Q117)*Summary!$B$2,"")</x:f>
      </x:c>
      <x:c r="Z117" s="12" t="n">
        <x:f>IFERROR(Q117/O117,0)</x:f>
        <x:v>0</x:v>
      </x:c>
      <x:c r="AA117" s="12" t="n">
        <x:f>IFERROR(T117/Q117,0)</x:f>
        <x:v>0</x:v>
      </x:c>
      <x:c r="AB117" s="10" t="n">
        <x:f>IFERROR(R117/Q117,0)</x:f>
        <x:v>0</x:v>
      </x:c>
      <x:c r="AC117" s="10" t="n">
        <x:f>IFERROR(U117/R117,0)</x:f>
        <x:v>0</x:v>
      </x:c>
      <x:c r="AD117" s="12" t="n">
        <x:f>IFERROR(R117/U117,0)</x:f>
        <x:v>0</x:v>
      </x:c>
      <x:c r="AE117" s="10" t="n">
        <x:f>IFERROR(U117/Q117,0)</x:f>
        <x:v>0</x:v>
      </x:c>
      <x:c r="AF117" s="10" t="n">
        <x:f>IF(Q117=0,M117,IF(U117=0,IF(Q117&gt;=10,MAX(0.02,M117*0.7),M117),IF(AD117=0,M117,MAX(0.02,IF(AD117&gt;Summary!$B$2,M117*Summary!$B$2/AD117,MIN(M117*1.2,M117*Summary!$B$2/AD117))))))</x:f>
        <x:v>1.14</x:v>
      </x:c>
      <x:c r="AG117" s="11" t="n">
        <x:f>IFERROR(AF117/M117-1,0)</x:f>
        <x:v>0</x:v>
      </x:c>
      <x:c r="AH117" t="str">
        <x:f>IF(Q117=0,"Need clicks",IF(AND(U117=0,Q117&gt;=10),"No sales: lower/pause",IF(AND(AD117&gt;Summary!$B$2,T117&gt;0),"Over target: reduce",IF(AND(AD117&lt;=Summary!$B$2,T117&gt;0),"At/under target: scale/hold",IF(AND(Q117&gt;0,T117=0),"Collect data","Review")))))</x:f>
        <x:v>Need clicks</x:v>
      </x:c>
      <x:c r="AI117" s="10" t="n">
        <x:f>IFERROR(IF(U117=0,R117,MAX(0,R117-(U117*Summary!$B$2))),0)</x:f>
        <x:v>0</x:v>
      </x:c>
      <x:c r="AJ117" t="str">
        <x:f>IF(AH117="No sales: lower/pause","Waste",IF(AH117="Over target: reduce","Inefficient",IF(AH117="At/under target: scale/hold","Efficient",IF(AND(O117&gt;=1000,Q117=0),"High imp/no click","Data gathering"))))</x:f>
        <x:v>Data gathering</x:v>
      </x:c>
    </x:row>
    <x:row r="118">
      <x:c r="A118" t="s">
        <x:v>22</x:v>
      </x:c>
      <x:c r="B118" t="s">
        <x:v>188</x:v>
      </x:c>
      <x:c r="C118" t="s">
        <x:v>22</x:v>
      </x:c>
      <x:c r="D118" t="s">
        <x:v>24</x:v>
      </x:c>
      <x:c r="E118" t="s">
        <x:v>63</x:v>
      </x:c>
      <x:c r="F118" t="s">
        <x:v>26</x:v>
      </x:c>
      <x:c r="G118" t="s">
        <x:v>27</x:v>
      </x:c>
      <x:c r="H118" t="s">
        <x:v>189</x:v>
      </x:c>
      <x:c r="I118">
        <x:v>1</x:v>
      </x:c>
      <x:c r="L118">
        <x:v>0</x:v>
      </x:c>
      <x:c r="M118">
        <x:v>0.22</x:v>
      </x:c>
      <x:c r="N118">
        <x:v>3.58</x:v>
      </x:c>
      <x:c r="O118">
        <x:v>39</x:v>
      </x:c>
      <x:c r="P118">
        <x:v>0</x:v>
      </x:c>
      <x:c r="Q118">
        <x:v>0</x:v>
      </x:c>
      <x:c r="R118" s="10">
        <x:v>0</x:v>
      </x:c>
      <x:c r="S118">
        <x:v>0</x:v>
      </x:c>
      <x:c r="T118">
        <x:v>0</x:v>
      </x:c>
      <x:c r="U118" s="10">
        <x:v>0</x:v>
      </x:c>
      <x:c r="W118" s="11" t="n">
        <x:f>Summary!$B$2</x:f>
        <x:v>0.15</x:v>
      </x:c>
      <x:c r="X118" s="11" t="n">
        <x:f>IFERROR(AD118-Summary!$B$2,"")</x:f>
        <x:v>-0.15</x:v>
      </x:c>
      <x:c r="Y118" s="10" t="str">
        <x:f>IFERROR((U118/Q118)*Summary!$B$2,"")</x:f>
      </x:c>
      <x:c r="Z118" s="12" t="n">
        <x:f>IFERROR(Q118/O118,0)</x:f>
        <x:v>0</x:v>
      </x:c>
      <x:c r="AA118" s="12" t="n">
        <x:f>IFERROR(T118/Q118,0)</x:f>
        <x:v>0</x:v>
      </x:c>
      <x:c r="AB118" s="10" t="n">
        <x:f>IFERROR(R118/Q118,0)</x:f>
        <x:v>0</x:v>
      </x:c>
      <x:c r="AC118" s="10" t="n">
        <x:f>IFERROR(U118/R118,0)</x:f>
        <x:v>0</x:v>
      </x:c>
      <x:c r="AD118" s="12" t="n">
        <x:f>IFERROR(R118/U118,0)</x:f>
        <x:v>0</x:v>
      </x:c>
      <x:c r="AE118" s="10" t="n">
        <x:f>IFERROR(U118/Q118,0)</x:f>
        <x:v>0</x:v>
      </x:c>
      <x:c r="AF118" s="10" t="n">
        <x:f>IF(Q118=0,M118,IF(U118=0,IF(Q118&gt;=10,MAX(0.02,M118*0.7),M118),IF(AD118=0,M118,MAX(0.02,IF(AD118&gt;Summary!$B$2,M118*Summary!$B$2/AD118,MIN(M118*1.2,M118*Summary!$B$2/AD118))))))</x:f>
        <x:v>0.22</x:v>
      </x:c>
      <x:c r="AG118" s="11" t="n">
        <x:f>IFERROR(AF118/M118-1,0)</x:f>
        <x:v>0</x:v>
      </x:c>
      <x:c r="AH118" t="str">
        <x:f>IF(Q118=0,"Need clicks",IF(AND(U118=0,Q118&gt;=10),"No sales: lower/pause",IF(AND(AD118&gt;Summary!$B$2,T118&gt;0),"Over target: reduce",IF(AND(AD118&lt;=Summary!$B$2,T118&gt;0),"At/under target: scale/hold",IF(AND(Q118&gt;0,T118=0),"Collect data","Review")))))</x:f>
        <x:v>Need clicks</x:v>
      </x:c>
      <x:c r="AI118" s="10" t="n">
        <x:f>IFERROR(IF(U118=0,R118,MAX(0,R118-(U118*Summary!$B$2))),0)</x:f>
        <x:v>0</x:v>
      </x:c>
      <x:c r="AJ118" t="str">
        <x:f>IF(AH118="No sales: lower/pause","Waste",IF(AH118="Over target: reduce","Inefficient",IF(AH118="At/under target: scale/hold","Efficient",IF(AND(O118&gt;=1000,Q118=0),"High imp/no click","Data gathering"))))</x:f>
        <x:v>Data gathering</x:v>
      </x:c>
    </x:row>
    <x:row r="119">
      <x:c r="A119" t="s">
        <x:v>22</x:v>
      </x:c>
      <x:c r="B119" t="s">
        <x:v>88</x:v>
      </x:c>
      <x:c r="C119" t="s">
        <x:v>22</x:v>
      </x:c>
      <x:c r="D119" t="s">
        <x:v>24</x:v>
      </x:c>
      <x:c r="E119" t="s">
        <x:v>63</x:v>
      </x:c>
      <x:c r="F119" t="s">
        <x:v>26</x:v>
      </x:c>
      <x:c r="G119" t="s">
        <x:v>27</x:v>
      </x:c>
      <x:c r="H119" t="s">
        <x:v>190</x:v>
      </x:c>
      <x:c r="I119">
        <x:v>2</x:v>
      </x:c>
      <x:c r="L119">
        <x:v>0</x:v>
      </x:c>
      <x:c r="M119">
        <x:v>1.1100000000000001</x:v>
      </x:c>
      <x:c r="N119">
        <x:v>3.42</x:v>
      </x:c>
      <x:c r="O119">
        <x:v>15</x:v>
      </x:c>
      <x:c r="P119">
        <x:v>0</x:v>
      </x:c>
      <x:c r="Q119">
        <x:v>0</x:v>
      </x:c>
      <x:c r="R119" s="10">
        <x:v>0</x:v>
      </x:c>
      <x:c r="S119">
        <x:v>0</x:v>
      </x:c>
      <x:c r="T119">
        <x:v>0</x:v>
      </x:c>
      <x:c r="U119" s="10">
        <x:v>0</x:v>
      </x:c>
      <x:c r="W119" s="11" t="n">
        <x:f>Summary!$B$2</x:f>
        <x:v>0.15</x:v>
      </x:c>
      <x:c r="X119" s="11" t="n">
        <x:f>IFERROR(AD119-Summary!$B$2,"")</x:f>
        <x:v>-0.15</x:v>
      </x:c>
      <x:c r="Y119" s="10" t="str">
        <x:f>IFERROR((U119/Q119)*Summary!$B$2,"")</x:f>
      </x:c>
      <x:c r="Z119" s="12" t="n">
        <x:f>IFERROR(Q119/O119,0)</x:f>
        <x:v>0</x:v>
      </x:c>
      <x:c r="AA119" s="12" t="n">
        <x:f>IFERROR(T119/Q119,0)</x:f>
        <x:v>0</x:v>
      </x:c>
      <x:c r="AB119" s="10" t="n">
        <x:f>IFERROR(R119/Q119,0)</x:f>
        <x:v>0</x:v>
      </x:c>
      <x:c r="AC119" s="10" t="n">
        <x:f>IFERROR(U119/R119,0)</x:f>
        <x:v>0</x:v>
      </x:c>
      <x:c r="AD119" s="12" t="n">
        <x:f>IFERROR(R119/U119,0)</x:f>
        <x:v>0</x:v>
      </x:c>
      <x:c r="AE119" s="10" t="n">
        <x:f>IFERROR(U119/Q119,0)</x:f>
        <x:v>0</x:v>
      </x:c>
      <x:c r="AF119" s="10" t="n">
        <x:f>IF(Q119=0,M119,IF(U119=0,IF(Q119&gt;=10,MAX(0.02,M119*0.7),M119),IF(AD119=0,M119,MAX(0.02,IF(AD119&gt;Summary!$B$2,M119*Summary!$B$2/AD119,MIN(M119*1.2,M119*Summary!$B$2/AD119))))))</x:f>
        <x:v>1.11</x:v>
      </x:c>
      <x:c r="AG119" s="11" t="n">
        <x:f>IFERROR(AF119/M119-1,0)</x:f>
        <x:v>0</x:v>
      </x:c>
      <x:c r="AH119" t="str">
        <x:f>IF(Q119=0,"Need clicks",IF(AND(U119=0,Q119&gt;=10),"No sales: lower/pause",IF(AND(AD119&gt;Summary!$B$2,T119&gt;0),"Over target: reduce",IF(AND(AD119&lt;=Summary!$B$2,T119&gt;0),"At/under target: scale/hold",IF(AND(Q119&gt;0,T119=0),"Collect data","Review")))))</x:f>
        <x:v>Need clicks</x:v>
      </x:c>
      <x:c r="AI119" s="10" t="n">
        <x:f>IFERROR(IF(U119=0,R119,MAX(0,R119-(U119*Summary!$B$2))),0)</x:f>
        <x:v>0</x:v>
      </x:c>
      <x:c r="AJ119" t="str">
        <x:f>IF(AH119="No sales: lower/pause","Waste",IF(AH119="Over target: reduce","Inefficient",IF(AH119="At/under target: scale/hold","Efficient",IF(AND(O119&gt;=1000,Q119=0),"High imp/no click","Data gathering"))))</x:f>
        <x:v>Data gathering</x:v>
      </x:c>
    </x:row>
    <x:row r="120">
      <x:c r="A120" t="s">
        <x:v>22</x:v>
      </x:c>
      <x:c r="B120" t="s">
        <x:v>191</x:v>
      </x:c>
      <x:c r="C120" t="s">
        <x:v>22</x:v>
      </x:c>
      <x:c r="D120" t="s">
        <x:v>24</x:v>
      </x:c>
      <x:c r="E120" t="s">
        <x:v>63</x:v>
      </x:c>
      <x:c r="F120" t="s">
        <x:v>26</x:v>
      </x:c>
      <x:c r="G120" t="s">
        <x:v>27</x:v>
      </x:c>
      <x:c r="H120" t="s">
        <x:v>190</x:v>
      </x:c>
      <x:c r="I120">
        <x:v>2</x:v>
      </x:c>
      <x:c r="L120">
        <x:v>0</x:v>
      </x:c>
      <x:c r="M120">
        <x:v>0.86</x:v>
      </x:c>
      <x:c r="N120">
        <x:v>3</x:v>
      </x:c>
      <x:c r="O120">
        <x:v>2</x:v>
      </x:c>
      <x:c r="P120">
        <x:v>0</x:v>
      </x:c>
      <x:c r="Q120">
        <x:v>0</x:v>
      </x:c>
      <x:c r="R120" s="10">
        <x:v>0</x:v>
      </x:c>
      <x:c r="S120">
        <x:v>0</x:v>
      </x:c>
      <x:c r="T120">
        <x:v>0</x:v>
      </x:c>
      <x:c r="U120" s="10">
        <x:v>0</x:v>
      </x:c>
      <x:c r="W120" s="11" t="n">
        <x:f>Summary!$B$2</x:f>
        <x:v>0.15</x:v>
      </x:c>
      <x:c r="X120" s="11" t="n">
        <x:f>IFERROR(AD120-Summary!$B$2,"")</x:f>
        <x:v>-0.15</x:v>
      </x:c>
      <x:c r="Y120" s="10" t="str">
        <x:f>IFERROR((U120/Q120)*Summary!$B$2,"")</x:f>
      </x:c>
      <x:c r="Z120" s="12" t="n">
        <x:f>IFERROR(Q120/O120,0)</x:f>
        <x:v>0</x:v>
      </x:c>
      <x:c r="AA120" s="12" t="n">
        <x:f>IFERROR(T120/Q120,0)</x:f>
        <x:v>0</x:v>
      </x:c>
      <x:c r="AB120" s="10" t="n">
        <x:f>IFERROR(R120/Q120,0)</x:f>
        <x:v>0</x:v>
      </x:c>
      <x:c r="AC120" s="10" t="n">
        <x:f>IFERROR(U120/R120,0)</x:f>
        <x:v>0</x:v>
      </x:c>
      <x:c r="AD120" s="12" t="n">
        <x:f>IFERROR(R120/U120,0)</x:f>
        <x:v>0</x:v>
      </x:c>
      <x:c r="AE120" s="10" t="n">
        <x:f>IFERROR(U120/Q120,0)</x:f>
        <x:v>0</x:v>
      </x:c>
      <x:c r="AF120" s="10" t="n">
        <x:f>IF(Q120=0,M120,IF(U120=0,IF(Q120&gt;=10,MAX(0.02,M120*0.7),M120),IF(AD120=0,M120,MAX(0.02,IF(AD120&gt;Summary!$B$2,M120*Summary!$B$2/AD120,MIN(M120*1.2,M120*Summary!$B$2/AD120))))))</x:f>
        <x:v>0.86</x:v>
      </x:c>
      <x:c r="AG120" s="11" t="n">
        <x:f>IFERROR(AF120/M120-1,0)</x:f>
        <x:v>0</x:v>
      </x:c>
      <x:c r="AH120" t="str">
        <x:f>IF(Q120=0,"Need clicks",IF(AND(U120=0,Q120&gt;=10),"No sales: lower/pause",IF(AND(AD120&gt;Summary!$B$2,T120&gt;0),"Over target: reduce",IF(AND(AD120&lt;=Summary!$B$2,T120&gt;0),"At/under target: scale/hold",IF(AND(Q120&gt;0,T120=0),"Collect data","Review")))))</x:f>
        <x:v>Need clicks</x:v>
      </x:c>
      <x:c r="AI120" s="10" t="n">
        <x:f>IFERROR(IF(U120=0,R120,MAX(0,R120-(U120*Summary!$B$2))),0)</x:f>
        <x:v>0</x:v>
      </x:c>
      <x:c r="AJ120" t="str">
        <x:f>IF(AH120="No sales: lower/pause","Waste",IF(AH120="Over target: reduce","Inefficient",IF(AH120="At/under target: scale/hold","Efficient",IF(AND(O120&gt;=1000,Q120=0),"High imp/no click","Data gathering"))))</x:f>
        <x:v>Data gathering</x:v>
      </x:c>
    </x:row>
    <x:row r="121">
      <x:c r="A121" t="s">
        <x:v>22</x:v>
      </x:c>
      <x:c r="B121" t="s">
        <x:v>192</x:v>
      </x:c>
      <x:c r="C121" t="s">
        <x:v>22</x:v>
      </x:c>
      <x:c r="D121" t="s">
        <x:v>24</x:v>
      </x:c>
      <x:c r="E121" t="s">
        <x:v>63</x:v>
      </x:c>
      <x:c r="F121" t="s">
        <x:v>26</x:v>
      </x:c>
      <x:c r="G121" t="s">
        <x:v>27</x:v>
      </x:c>
      <x:c r="H121" t="s">
        <x:v>190</x:v>
      </x:c>
      <x:c r="I121">
        <x:v>2</x:v>
      </x:c>
      <x:c r="L121">
        <x:v>0</x:v>
      </x:c>
      <x:c r="M121">
        <x:v>1.77</x:v>
      </x:c>
      <x:c r="N121">
        <x:v>3.47</x:v>
      </x:c>
      <x:c r="O121">
        <x:v>45</x:v>
      </x:c>
      <x:c r="P121">
        <x:v>0</x:v>
      </x:c>
      <x:c r="Q121">
        <x:v>0</x:v>
      </x:c>
      <x:c r="R121" s="10">
        <x:v>0</x:v>
      </x:c>
      <x:c r="S121">
        <x:v>0</x:v>
      </x:c>
      <x:c r="T121">
        <x:v>0</x:v>
      </x:c>
      <x:c r="U121" s="10">
        <x:v>0</x:v>
      </x:c>
      <x:c r="W121" s="11" t="n">
        <x:f>Summary!$B$2</x:f>
        <x:v>0.15</x:v>
      </x:c>
      <x:c r="X121" s="11" t="n">
        <x:f>IFERROR(AD121-Summary!$B$2,"")</x:f>
        <x:v>-0.15</x:v>
      </x:c>
      <x:c r="Y121" s="10" t="str">
        <x:f>IFERROR((U121/Q121)*Summary!$B$2,"")</x:f>
      </x:c>
      <x:c r="Z121" s="12" t="n">
        <x:f>IFERROR(Q121/O121,0)</x:f>
        <x:v>0</x:v>
      </x:c>
      <x:c r="AA121" s="12" t="n">
        <x:f>IFERROR(T121/Q121,0)</x:f>
        <x:v>0</x:v>
      </x:c>
      <x:c r="AB121" s="10" t="n">
        <x:f>IFERROR(R121/Q121,0)</x:f>
        <x:v>0</x:v>
      </x:c>
      <x:c r="AC121" s="10" t="n">
        <x:f>IFERROR(U121/R121,0)</x:f>
        <x:v>0</x:v>
      </x:c>
      <x:c r="AD121" s="12" t="n">
        <x:f>IFERROR(R121/U121,0)</x:f>
        <x:v>0</x:v>
      </x:c>
      <x:c r="AE121" s="10" t="n">
        <x:f>IFERROR(U121/Q121,0)</x:f>
        <x:v>0</x:v>
      </x:c>
      <x:c r="AF121" s="10" t="n">
        <x:f>IF(Q121=0,M121,IF(U121=0,IF(Q121&gt;=10,MAX(0.02,M121*0.7),M121),IF(AD121=0,M121,MAX(0.02,IF(AD121&gt;Summary!$B$2,M121*Summary!$B$2/AD121,MIN(M121*1.2,M121*Summary!$B$2/AD121))))))</x:f>
        <x:v>1.77</x:v>
      </x:c>
      <x:c r="AG121" s="11" t="n">
        <x:f>IFERROR(AF121/M121-1,0)</x:f>
        <x:v>0</x:v>
      </x:c>
      <x:c r="AH121" t="str">
        <x:f>IF(Q121=0,"Need clicks",IF(AND(U121=0,Q121&gt;=10),"No sales: lower/pause",IF(AND(AD121&gt;Summary!$B$2,T121&gt;0),"Over target: reduce",IF(AND(AD121&lt;=Summary!$B$2,T121&gt;0),"At/under target: scale/hold",IF(AND(Q121&gt;0,T121=0),"Collect data","Review")))))</x:f>
        <x:v>Need clicks</x:v>
      </x:c>
      <x:c r="AI121" s="10" t="n">
        <x:f>IFERROR(IF(U121=0,R121,MAX(0,R121-(U121*Summary!$B$2))),0)</x:f>
        <x:v>0</x:v>
      </x:c>
      <x:c r="AJ121" t="str">
        <x:f>IF(AH121="No sales: lower/pause","Waste",IF(AH121="Over target: reduce","Inefficient",IF(AH121="At/under target: scale/hold","Efficient",IF(AND(O121&gt;=1000,Q121=0),"High imp/no click","Data gathering"))))</x:f>
        <x:v>Data gathering</x:v>
      </x:c>
    </x:row>
    <x:row r="122">
      <x:c r="A122" t="s">
        <x:v>22</x:v>
      </x:c>
      <x:c r="B122" t="s">
        <x:v>193</x:v>
      </x:c>
      <x:c r="C122" t="s">
        <x:v>22</x:v>
      </x:c>
      <x:c r="D122" t="s">
        <x:v>24</x:v>
      </x:c>
      <x:c r="E122" t="s">
        <x:v>63</x:v>
      </x:c>
      <x:c r="F122" t="s">
        <x:v>26</x:v>
      </x:c>
      <x:c r="G122" t="s">
        <x:v>27</x:v>
      </x:c>
      <x:c r="H122" t="s">
        <x:v>190</x:v>
      </x:c>
      <x:c r="I122">
        <x:v>2</x:v>
      </x:c>
      <x:c r="L122">
        <x:v>0</x:v>
      </x:c>
      <x:c r="M122">
        <x:v>1.37</x:v>
      </x:c>
      <x:c r="N122">
        <x:v>3.09</x:v>
      </x:c>
      <x:c r="O122">
        <x:v>54</x:v>
      </x:c>
      <x:c r="P122">
        <x:v>8.5124494573313406E-2</x:v>
      </x:c>
      <x:c r="Q122">
        <x:v>0</x:v>
      </x:c>
      <x:c r="R122" s="10">
        <x:v>0</x:v>
      </x:c>
      <x:c r="S122">
        <x:v>0</x:v>
      </x:c>
      <x:c r="T122">
        <x:v>0</x:v>
      </x:c>
      <x:c r="U122" s="10">
        <x:v>0</x:v>
      </x:c>
      <x:c r="W122" s="11" t="n">
        <x:f>Summary!$B$2</x:f>
        <x:v>0.15</x:v>
      </x:c>
      <x:c r="X122" s="11" t="n">
        <x:f>IFERROR(AD122-Summary!$B$2,"")</x:f>
        <x:v>-0.15</x:v>
      </x:c>
      <x:c r="Y122" s="10" t="str">
        <x:f>IFERROR((U122/Q122)*Summary!$B$2,"")</x:f>
      </x:c>
      <x:c r="Z122" s="12" t="n">
        <x:f>IFERROR(Q122/O122,0)</x:f>
        <x:v>0</x:v>
      </x:c>
      <x:c r="AA122" s="12" t="n">
        <x:f>IFERROR(T122/Q122,0)</x:f>
        <x:v>0</x:v>
      </x:c>
      <x:c r="AB122" s="10" t="n">
        <x:f>IFERROR(R122/Q122,0)</x:f>
        <x:v>0</x:v>
      </x:c>
      <x:c r="AC122" s="10" t="n">
        <x:f>IFERROR(U122/R122,0)</x:f>
        <x:v>0</x:v>
      </x:c>
      <x:c r="AD122" s="12" t="n">
        <x:f>IFERROR(R122/U122,0)</x:f>
        <x:v>0</x:v>
      </x:c>
      <x:c r="AE122" s="10" t="n">
        <x:f>IFERROR(U122/Q122,0)</x:f>
        <x:v>0</x:v>
      </x:c>
      <x:c r="AF122" s="10" t="n">
        <x:f>IF(Q122=0,M122,IF(U122=0,IF(Q122&gt;=10,MAX(0.02,M122*0.7),M122),IF(AD122=0,M122,MAX(0.02,IF(AD122&gt;Summary!$B$2,M122*Summary!$B$2/AD122,MIN(M122*1.2,M122*Summary!$B$2/AD122))))))</x:f>
        <x:v>1.37</x:v>
      </x:c>
      <x:c r="AG122" s="11" t="n">
        <x:f>IFERROR(AF122/M122-1,0)</x:f>
        <x:v>0</x:v>
      </x:c>
      <x:c r="AH122" t="str">
        <x:f>IF(Q122=0,"Need clicks",IF(AND(U122=0,Q122&gt;=10),"No sales: lower/pause",IF(AND(AD122&gt;Summary!$B$2,T122&gt;0),"Over target: reduce",IF(AND(AD122&lt;=Summary!$B$2,T122&gt;0),"At/under target: scale/hold",IF(AND(Q122&gt;0,T122=0),"Collect data","Review")))))</x:f>
        <x:v>Need clicks</x:v>
      </x:c>
      <x:c r="AI122" s="10" t="n">
        <x:f>IFERROR(IF(U122=0,R122,MAX(0,R122-(U122*Summary!$B$2))),0)</x:f>
        <x:v>0</x:v>
      </x:c>
      <x:c r="AJ122" t="str">
        <x:f>IF(AH122="No sales: lower/pause","Waste",IF(AH122="Over target: reduce","Inefficient",IF(AH122="At/under target: scale/hold","Efficient",IF(AND(O122&gt;=1000,Q122=0),"High imp/no click","Data gathering"))))</x:f>
        <x:v>Data gathering</x:v>
      </x:c>
    </x:row>
    <x:row r="123">
      <x:c r="A123" t="s">
        <x:v>22</x:v>
      </x:c>
      <x:c r="B123" t="s">
        <x:v>194</x:v>
      </x:c>
      <x:c r="C123" t="s">
        <x:v>22</x:v>
      </x:c>
      <x:c r="D123" t="s">
        <x:v>24</x:v>
      </x:c>
      <x:c r="E123" t="s">
        <x:v>63</x:v>
      </x:c>
      <x:c r="F123" t="s">
        <x:v>26</x:v>
      </x:c>
      <x:c r="G123" t="s">
        <x:v>27</x:v>
      </x:c>
      <x:c r="H123" t="s">
        <x:v>190</x:v>
      </x:c>
      <x:c r="I123">
        <x:v>2</x:v>
      </x:c>
      <x:c r="L123">
        <x:v>0</x:v>
      </x:c>
      <x:c r="M123">
        <x:v>0.72</x:v>
      </x:c>
      <x:c r="N123">
        <x:v>3.14</x:v>
      </x:c>
      <x:c r="O123">
        <x:v>20</x:v>
      </x:c>
      <x:c r="P123">
        <x:v>0</x:v>
      </x:c>
      <x:c r="Q123">
        <x:v>0</x:v>
      </x:c>
      <x:c r="R123" s="10">
        <x:v>0</x:v>
      </x:c>
      <x:c r="S123">
        <x:v>0</x:v>
      </x:c>
      <x:c r="T123">
        <x:v>0</x:v>
      </x:c>
      <x:c r="U123" s="10">
        <x:v>0</x:v>
      </x:c>
      <x:c r="W123" s="11" t="n">
        <x:f>Summary!$B$2</x:f>
        <x:v>0.15</x:v>
      </x:c>
      <x:c r="X123" s="11" t="n">
        <x:f>IFERROR(AD123-Summary!$B$2,"")</x:f>
        <x:v>-0.15</x:v>
      </x:c>
      <x:c r="Y123" s="10" t="str">
        <x:f>IFERROR((U123/Q123)*Summary!$B$2,"")</x:f>
      </x:c>
      <x:c r="Z123" s="12" t="n">
        <x:f>IFERROR(Q123/O123,0)</x:f>
        <x:v>0</x:v>
      </x:c>
      <x:c r="AA123" s="12" t="n">
        <x:f>IFERROR(T123/Q123,0)</x:f>
        <x:v>0</x:v>
      </x:c>
      <x:c r="AB123" s="10" t="n">
        <x:f>IFERROR(R123/Q123,0)</x:f>
        <x:v>0</x:v>
      </x:c>
      <x:c r="AC123" s="10" t="n">
        <x:f>IFERROR(U123/R123,0)</x:f>
        <x:v>0</x:v>
      </x:c>
      <x:c r="AD123" s="12" t="n">
        <x:f>IFERROR(R123/U123,0)</x:f>
        <x:v>0</x:v>
      </x:c>
      <x:c r="AE123" s="10" t="n">
        <x:f>IFERROR(U123/Q123,0)</x:f>
        <x:v>0</x:v>
      </x:c>
      <x:c r="AF123" s="10" t="n">
        <x:f>IF(Q123=0,M123,IF(U123=0,IF(Q123&gt;=10,MAX(0.02,M123*0.7),M123),IF(AD123=0,M123,MAX(0.02,IF(AD123&gt;Summary!$B$2,M123*Summary!$B$2/AD123,MIN(M123*1.2,M123*Summary!$B$2/AD123))))))</x:f>
        <x:v>0.72</x:v>
      </x:c>
      <x:c r="AG123" s="11" t="n">
        <x:f>IFERROR(AF123/M123-1,0)</x:f>
        <x:v>0</x:v>
      </x:c>
      <x:c r="AH123" t="str">
        <x:f>IF(Q123=0,"Need clicks",IF(AND(U123=0,Q123&gt;=10),"No sales: lower/pause",IF(AND(AD123&gt;Summary!$B$2,T123&gt;0),"Over target: reduce",IF(AND(AD123&lt;=Summary!$B$2,T123&gt;0),"At/under target: scale/hold",IF(AND(Q123&gt;0,T123=0),"Collect data","Review")))))</x:f>
        <x:v>Need clicks</x:v>
      </x:c>
      <x:c r="AI123" s="10" t="n">
        <x:f>IFERROR(IF(U123=0,R123,MAX(0,R123-(U123*Summary!$B$2))),0)</x:f>
        <x:v>0</x:v>
      </x:c>
      <x:c r="AJ123" t="str">
        <x:f>IF(AH123="No sales: lower/pause","Waste",IF(AH123="Over target: reduce","Inefficient",IF(AH123="At/under target: scale/hold","Efficient",IF(AND(O123&gt;=1000,Q123=0),"High imp/no click","Data gathering"))))</x:f>
        <x:v>Data gathering</x:v>
      </x:c>
    </x:row>
    <x:row r="124">
      <x:c r="A124" t="s">
        <x:v>22</x:v>
      </x:c>
      <x:c r="B124" t="s">
        <x:v>195</x:v>
      </x:c>
      <x:c r="C124" t="s">
        <x:v>22</x:v>
      </x:c>
      <x:c r="D124" t="s">
        <x:v>24</x:v>
      </x:c>
      <x:c r="E124" t="s">
        <x:v>63</x:v>
      </x:c>
      <x:c r="F124" t="s">
        <x:v>26</x:v>
      </x:c>
      <x:c r="G124" t="s">
        <x:v>27</x:v>
      </x:c>
      <x:c r="H124" t="s">
        <x:v>196</x:v>
      </x:c>
      <x:c r="I124">
        <x:v>1</x:v>
      </x:c>
      <x:c r="L124">
        <x:v>0</x:v>
      </x:c>
      <x:c r="M124">
        <x:v>0.1</x:v>
      </x:c>
      <x:c r="N124">
        <x:v>3.73</x:v>
      </x:c>
      <x:c r="O124">
        <x:v>18</x:v>
      </x:c>
      <x:c r="P124">
        <x:v>0</x:v>
      </x:c>
      <x:c r="Q124">
        <x:v>0</x:v>
      </x:c>
      <x:c r="R124" s="10">
        <x:v>0</x:v>
      </x:c>
      <x:c r="S124">
        <x:v>0</x:v>
      </x:c>
      <x:c r="T124">
        <x:v>0</x:v>
      </x:c>
      <x:c r="U124" s="10">
        <x:v>0</x:v>
      </x:c>
      <x:c r="W124" s="11" t="n">
        <x:f>Summary!$B$2</x:f>
        <x:v>0.15</x:v>
      </x:c>
      <x:c r="X124" s="11" t="n">
        <x:f>IFERROR(AD124-Summary!$B$2,"")</x:f>
        <x:v>-0.15</x:v>
      </x:c>
      <x:c r="Y124" s="10" t="str">
        <x:f>IFERROR((U124/Q124)*Summary!$B$2,"")</x:f>
      </x:c>
      <x:c r="Z124" s="12" t="n">
        <x:f>IFERROR(Q124/O124,0)</x:f>
        <x:v>0</x:v>
      </x:c>
      <x:c r="AA124" s="12" t="n">
        <x:f>IFERROR(T124/Q124,0)</x:f>
        <x:v>0</x:v>
      </x:c>
      <x:c r="AB124" s="10" t="n">
        <x:f>IFERROR(R124/Q124,0)</x:f>
        <x:v>0</x:v>
      </x:c>
      <x:c r="AC124" s="10" t="n">
        <x:f>IFERROR(U124/R124,0)</x:f>
        <x:v>0</x:v>
      </x:c>
      <x:c r="AD124" s="12" t="n">
        <x:f>IFERROR(R124/U124,0)</x:f>
        <x:v>0</x:v>
      </x:c>
      <x:c r="AE124" s="10" t="n">
        <x:f>IFERROR(U124/Q124,0)</x:f>
        <x:v>0</x:v>
      </x:c>
      <x:c r="AF124" s="10" t="n">
        <x:f>IF(Q124=0,M124,IF(U124=0,IF(Q124&gt;=10,MAX(0.02,M124*0.7),M124),IF(AD124=0,M124,MAX(0.02,IF(AD124&gt;Summary!$B$2,M124*Summary!$B$2/AD124,MIN(M124*1.2,M124*Summary!$B$2/AD124))))))</x:f>
        <x:v>0.1</x:v>
      </x:c>
      <x:c r="AG124" s="11" t="n">
        <x:f>IFERROR(AF124/M124-1,0)</x:f>
        <x:v>0</x:v>
      </x:c>
      <x:c r="AH124" t="str">
        <x:f>IF(Q124=0,"Need clicks",IF(AND(U124=0,Q124&gt;=10),"No sales: lower/pause",IF(AND(AD124&gt;Summary!$B$2,T124&gt;0),"Over target: reduce",IF(AND(AD124&lt;=Summary!$B$2,T124&gt;0),"At/under target: scale/hold",IF(AND(Q124&gt;0,T124=0),"Collect data","Review")))))</x:f>
        <x:v>Need clicks</x:v>
      </x:c>
      <x:c r="AI124" s="10" t="n">
        <x:f>IFERROR(IF(U124=0,R124,MAX(0,R124-(U124*Summary!$B$2))),0)</x:f>
        <x:v>0</x:v>
      </x:c>
      <x:c r="AJ124" t="str">
        <x:f>IF(AH124="No sales: lower/pause","Waste",IF(AH124="Over target: reduce","Inefficient",IF(AH124="At/under target: scale/hold","Efficient",IF(AND(O124&gt;=1000,Q124=0),"High imp/no click","Data gathering"))))</x:f>
        <x:v>Data gathering</x:v>
      </x:c>
    </x:row>
    <x:row r="125">
      <x:c r="A125" t="s">
        <x:v>22</x:v>
      </x:c>
      <x:c r="B125" t="s">
        <x:v>83</x:v>
      </x:c>
      <x:c r="C125" t="s">
        <x:v>22</x:v>
      </x:c>
      <x:c r="D125" t="s">
        <x:v>24</x:v>
      </x:c>
      <x:c r="E125" t="s">
        <x:v>63</x:v>
      </x:c>
      <x:c r="F125" t="s">
        <x:v>26</x:v>
      </x:c>
      <x:c r="G125" t="s">
        <x:v>27</x:v>
      </x:c>
      <x:c r="H125" t="s">
        <x:v>196</x:v>
      </x:c>
      <x:c r="I125">
        <x:v>1</x:v>
      </x:c>
      <x:c r="L125">
        <x:v>0</x:v>
      </x:c>
      <x:c r="M125">
        <x:v>0.26</x:v>
      </x:c>
      <x:c r="N125">
        <x:v>1.46</x:v>
      </x:c>
      <x:c r="O125">
        <x:v>13</x:v>
      </x:c>
      <x:c r="P125">
        <x:v>0</x:v>
      </x:c>
      <x:c r="Q125">
        <x:v>0</x:v>
      </x:c>
      <x:c r="R125" s="10">
        <x:v>0</x:v>
      </x:c>
      <x:c r="S125">
        <x:v>0</x:v>
      </x:c>
      <x:c r="T125">
        <x:v>0</x:v>
      </x:c>
      <x:c r="U125" s="10">
        <x:v>0</x:v>
      </x:c>
      <x:c r="W125" s="11" t="n">
        <x:f>Summary!$B$2</x:f>
        <x:v>0.15</x:v>
      </x:c>
      <x:c r="X125" s="11" t="n">
        <x:f>IFERROR(AD125-Summary!$B$2,"")</x:f>
        <x:v>-0.15</x:v>
      </x:c>
      <x:c r="Y125" s="10" t="str">
        <x:f>IFERROR((U125/Q125)*Summary!$B$2,"")</x:f>
      </x:c>
      <x:c r="Z125" s="12" t="n">
        <x:f>IFERROR(Q125/O125,0)</x:f>
        <x:v>0</x:v>
      </x:c>
      <x:c r="AA125" s="12" t="n">
        <x:f>IFERROR(T125/Q125,0)</x:f>
        <x:v>0</x:v>
      </x:c>
      <x:c r="AB125" s="10" t="n">
        <x:f>IFERROR(R125/Q125,0)</x:f>
        <x:v>0</x:v>
      </x:c>
      <x:c r="AC125" s="10" t="n">
        <x:f>IFERROR(U125/R125,0)</x:f>
        <x:v>0</x:v>
      </x:c>
      <x:c r="AD125" s="12" t="n">
        <x:f>IFERROR(R125/U125,0)</x:f>
        <x:v>0</x:v>
      </x:c>
      <x:c r="AE125" s="10" t="n">
        <x:f>IFERROR(U125/Q125,0)</x:f>
        <x:v>0</x:v>
      </x:c>
      <x:c r="AF125" s="10" t="n">
        <x:f>IF(Q125=0,M125,IF(U125=0,IF(Q125&gt;=10,MAX(0.02,M125*0.7),M125),IF(AD125=0,M125,MAX(0.02,IF(AD125&gt;Summary!$B$2,M125*Summary!$B$2/AD125,MIN(M125*1.2,M125*Summary!$B$2/AD125))))))</x:f>
        <x:v>0.26</x:v>
      </x:c>
      <x:c r="AG125" s="11" t="n">
        <x:f>IFERROR(AF125/M125-1,0)</x:f>
        <x:v>0</x:v>
      </x:c>
      <x:c r="AH125" t="str">
        <x:f>IF(Q125=0,"Need clicks",IF(AND(U125=0,Q125&gt;=10),"No sales: lower/pause",IF(AND(AD125&gt;Summary!$B$2,T125&gt;0),"Over target: reduce",IF(AND(AD125&lt;=Summary!$B$2,T125&gt;0),"At/under target: scale/hold",IF(AND(Q125&gt;0,T125=0),"Collect data","Review")))))</x:f>
        <x:v>Need clicks</x:v>
      </x:c>
      <x:c r="AI125" s="10" t="n">
        <x:f>IFERROR(IF(U125=0,R125,MAX(0,R125-(U125*Summary!$B$2))),0)</x:f>
        <x:v>0</x:v>
      </x:c>
      <x:c r="AJ125" t="str">
        <x:f>IF(AH125="No sales: lower/pause","Waste",IF(AH125="Over target: reduce","Inefficient",IF(AH125="At/under target: scale/hold","Efficient",IF(AND(O125&gt;=1000,Q125=0),"High imp/no click","Data gathering"))))</x:f>
        <x:v>Data gathering</x:v>
      </x:c>
    </x:row>
    <x:row r="126">
      <x:c r="A126" t="s">
        <x:v>22</x:v>
      </x:c>
      <x:c r="B126" t="s">
        <x:v>197</x:v>
      </x:c>
      <x:c r="C126" t="s">
        <x:v>22</x:v>
      </x:c>
      <x:c r="D126" t="s">
        <x:v>24</x:v>
      </x:c>
      <x:c r="E126" t="s">
        <x:v>63</x:v>
      </x:c>
      <x:c r="F126" t="s">
        <x:v>26</x:v>
      </x:c>
      <x:c r="G126" t="s">
        <x:v>27</x:v>
      </x:c>
      <x:c r="H126" t="s">
        <x:v>196</x:v>
      </x:c>
      <x:c r="I126">
        <x:v>1</x:v>
      </x:c>
      <x:c r="L126">
        <x:v>0</x:v>
      </x:c>
      <x:c r="M126">
        <x:v>0.16</x:v>
      </x:c>
      <x:c r="N126">
        <x:v>3.73</x:v>
      </x:c>
      <x:c r="O126">
        <x:v>5</x:v>
      </x:c>
      <x:c r="P126">
        <x:v>0</x:v>
      </x:c>
      <x:c r="Q126">
        <x:v>0</x:v>
      </x:c>
      <x:c r="R126" s="10">
        <x:v>0</x:v>
      </x:c>
      <x:c r="S126">
        <x:v>0</x:v>
      </x:c>
      <x:c r="T126">
        <x:v>0</x:v>
      </x:c>
      <x:c r="U126" s="10">
        <x:v>0</x:v>
      </x:c>
      <x:c r="W126" s="11" t="n">
        <x:f>Summary!$B$2</x:f>
        <x:v>0.15</x:v>
      </x:c>
      <x:c r="X126" s="11" t="n">
        <x:f>IFERROR(AD126-Summary!$B$2,"")</x:f>
        <x:v>-0.15</x:v>
      </x:c>
      <x:c r="Y126" s="10" t="str">
        <x:f>IFERROR((U126/Q126)*Summary!$B$2,"")</x:f>
      </x:c>
      <x:c r="Z126" s="12" t="n">
        <x:f>IFERROR(Q126/O126,0)</x:f>
        <x:v>0</x:v>
      </x:c>
      <x:c r="AA126" s="12" t="n">
        <x:f>IFERROR(T126/Q126,0)</x:f>
        <x:v>0</x:v>
      </x:c>
      <x:c r="AB126" s="10" t="n">
        <x:f>IFERROR(R126/Q126,0)</x:f>
        <x:v>0</x:v>
      </x:c>
      <x:c r="AC126" s="10" t="n">
        <x:f>IFERROR(U126/R126,0)</x:f>
        <x:v>0</x:v>
      </x:c>
      <x:c r="AD126" s="12" t="n">
        <x:f>IFERROR(R126/U126,0)</x:f>
        <x:v>0</x:v>
      </x:c>
      <x:c r="AE126" s="10" t="n">
        <x:f>IFERROR(U126/Q126,0)</x:f>
        <x:v>0</x:v>
      </x:c>
      <x:c r="AF126" s="10" t="n">
        <x:f>IF(Q126=0,M126,IF(U126=0,IF(Q126&gt;=10,MAX(0.02,M126*0.7),M126),IF(AD126=0,M126,MAX(0.02,IF(AD126&gt;Summary!$B$2,M126*Summary!$B$2/AD126,MIN(M126*1.2,M126*Summary!$B$2/AD126))))))</x:f>
        <x:v>0.16</x:v>
      </x:c>
      <x:c r="AG126" s="11" t="n">
        <x:f>IFERROR(AF126/M126-1,0)</x:f>
        <x:v>0</x:v>
      </x:c>
      <x:c r="AH126" t="str">
        <x:f>IF(Q126=0,"Need clicks",IF(AND(U126=0,Q126&gt;=10),"No sales: lower/pause",IF(AND(AD126&gt;Summary!$B$2,T126&gt;0),"Over target: reduce",IF(AND(AD126&lt;=Summary!$B$2,T126&gt;0),"At/under target: scale/hold",IF(AND(Q126&gt;0,T126=0),"Collect data","Review")))))</x:f>
        <x:v>Need clicks</x:v>
      </x:c>
      <x:c r="AI126" s="10" t="n">
        <x:f>IFERROR(IF(U126=0,R126,MAX(0,R126-(U126*Summary!$B$2))),0)</x:f>
        <x:v>0</x:v>
      </x:c>
      <x:c r="AJ126" t="str">
        <x:f>IF(AH126="No sales: lower/pause","Waste",IF(AH126="Over target: reduce","Inefficient",IF(AH126="At/under target: scale/hold","Efficient",IF(AND(O126&gt;=1000,Q126=0),"High imp/no click","Data gathering"))))</x:f>
        <x:v>Data gathering</x:v>
      </x:c>
    </x:row>
    <x:row r="127">
      <x:c r="A127" t="s">
        <x:v>22</x:v>
      </x:c>
      <x:c r="B127" t="s">
        <x:v>110</x:v>
      </x:c>
      <x:c r="C127" t="s">
        <x:v>22</x:v>
      </x:c>
      <x:c r="D127" t="s">
        <x:v>24</x:v>
      </x:c>
      <x:c r="E127" t="s">
        <x:v>63</x:v>
      </x:c>
      <x:c r="F127" t="s">
        <x:v>26</x:v>
      </x:c>
      <x:c r="G127" t="s">
        <x:v>27</x:v>
      </x:c>
      <x:c r="H127" t="s">
        <x:v>196</x:v>
      </x:c>
      <x:c r="I127">
        <x:v>1</x:v>
      </x:c>
      <x:c r="L127">
        <x:v>0</x:v>
      </x:c>
      <x:c r="M127">
        <x:v>0.21</x:v>
      </x:c>
      <x:c r="N127">
        <x:v>1.46</x:v>
      </x:c>
      <x:c r="O127">
        <x:v>1</x:v>
      </x:c>
      <x:c r="P127">
        <x:v>0</x:v>
      </x:c>
      <x:c r="Q127">
        <x:v>0</x:v>
      </x:c>
      <x:c r="R127" s="10">
        <x:v>0</x:v>
      </x:c>
      <x:c r="S127">
        <x:v>0</x:v>
      </x:c>
      <x:c r="T127">
        <x:v>0</x:v>
      </x:c>
      <x:c r="U127" s="10">
        <x:v>0</x:v>
      </x:c>
      <x:c r="W127" s="11" t="n">
        <x:f>Summary!$B$2</x:f>
        <x:v>0.15</x:v>
      </x:c>
      <x:c r="X127" s="11" t="n">
        <x:f>IFERROR(AD127-Summary!$B$2,"")</x:f>
        <x:v>-0.15</x:v>
      </x:c>
      <x:c r="Y127" s="10" t="str">
        <x:f>IFERROR((U127/Q127)*Summary!$B$2,"")</x:f>
      </x:c>
      <x:c r="Z127" s="12" t="n">
        <x:f>IFERROR(Q127/O127,0)</x:f>
        <x:v>0</x:v>
      </x:c>
      <x:c r="AA127" s="12" t="n">
        <x:f>IFERROR(T127/Q127,0)</x:f>
        <x:v>0</x:v>
      </x:c>
      <x:c r="AB127" s="10" t="n">
        <x:f>IFERROR(R127/Q127,0)</x:f>
        <x:v>0</x:v>
      </x:c>
      <x:c r="AC127" s="10" t="n">
        <x:f>IFERROR(U127/R127,0)</x:f>
        <x:v>0</x:v>
      </x:c>
      <x:c r="AD127" s="12" t="n">
        <x:f>IFERROR(R127/U127,0)</x:f>
        <x:v>0</x:v>
      </x:c>
      <x:c r="AE127" s="10" t="n">
        <x:f>IFERROR(U127/Q127,0)</x:f>
        <x:v>0</x:v>
      </x:c>
      <x:c r="AF127" s="10" t="n">
        <x:f>IF(Q127=0,M127,IF(U127=0,IF(Q127&gt;=10,MAX(0.02,M127*0.7),M127),IF(AD127=0,M127,MAX(0.02,IF(AD127&gt;Summary!$B$2,M127*Summary!$B$2/AD127,MIN(M127*1.2,M127*Summary!$B$2/AD127))))))</x:f>
        <x:v>0.21</x:v>
      </x:c>
      <x:c r="AG127" s="11" t="n">
        <x:f>IFERROR(AF127/M127-1,0)</x:f>
        <x:v>0</x:v>
      </x:c>
      <x:c r="AH127" t="str">
        <x:f>IF(Q127=0,"Need clicks",IF(AND(U127=0,Q127&gt;=10),"No sales: lower/pause",IF(AND(AD127&gt;Summary!$B$2,T127&gt;0),"Over target: reduce",IF(AND(AD127&lt;=Summary!$B$2,T127&gt;0),"At/under target: scale/hold",IF(AND(Q127&gt;0,T127=0),"Collect data","Review")))))</x:f>
        <x:v>Need clicks</x:v>
      </x:c>
      <x:c r="AI127" s="10" t="n">
        <x:f>IFERROR(IF(U127=0,R127,MAX(0,R127-(U127*Summary!$B$2))),0)</x:f>
        <x:v>0</x:v>
      </x:c>
      <x:c r="AJ127" t="str">
        <x:f>IF(AH127="No sales: lower/pause","Waste",IF(AH127="Over target: reduce","Inefficient",IF(AH127="At/under target: scale/hold","Efficient",IF(AND(O127&gt;=1000,Q127=0),"High imp/no click","Data gathering"))))</x:f>
        <x:v>Data gathering</x:v>
      </x:c>
    </x:row>
    <x:row r="128">
      <x:c r="A128" t="s">
        <x:v>22</x:v>
      </x:c>
      <x:c r="B128" t="s">
        <x:v>198</x:v>
      </x:c>
      <x:c r="C128" t="s">
        <x:v>22</x:v>
      </x:c>
      <x:c r="D128" t="s">
        <x:v>24</x:v>
      </x:c>
      <x:c r="E128" t="s">
        <x:v>63</x:v>
      </x:c>
      <x:c r="F128" t="s">
        <x:v>26</x:v>
      </x:c>
      <x:c r="G128" t="s">
        <x:v>27</x:v>
      </x:c>
      <x:c r="H128" t="s">
        <x:v>196</x:v>
      </x:c>
      <x:c r="I128">
        <x:v>1</x:v>
      </x:c>
      <x:c r="L128">
        <x:v>0</x:v>
      </x:c>
      <x:c r="M128">
        <x:v>0.09</x:v>
      </x:c>
      <x:c r="N128">
        <x:v>3.28</x:v>
      </x:c>
      <x:c r="O128">
        <x:v>9</x:v>
      </x:c>
      <x:c r="P128">
        <x:v>0</x:v>
      </x:c>
      <x:c r="Q128">
        <x:v>0</x:v>
      </x:c>
      <x:c r="R128" s="10">
        <x:v>0</x:v>
      </x:c>
      <x:c r="S128">
        <x:v>0</x:v>
      </x:c>
      <x:c r="T128">
        <x:v>0</x:v>
      </x:c>
      <x:c r="U128" s="10">
        <x:v>0</x:v>
      </x:c>
      <x:c r="W128" s="11" t="n">
        <x:f>Summary!$B$2</x:f>
        <x:v>0.15</x:v>
      </x:c>
      <x:c r="X128" s="11" t="n">
        <x:f>IFERROR(AD128-Summary!$B$2,"")</x:f>
        <x:v>-0.15</x:v>
      </x:c>
      <x:c r="Y128" s="10" t="str">
        <x:f>IFERROR((U128/Q128)*Summary!$B$2,"")</x:f>
      </x:c>
      <x:c r="Z128" s="12" t="n">
        <x:f>IFERROR(Q128/O128,0)</x:f>
        <x:v>0</x:v>
      </x:c>
      <x:c r="AA128" s="12" t="n">
        <x:f>IFERROR(T128/Q128,0)</x:f>
        <x:v>0</x:v>
      </x:c>
      <x:c r="AB128" s="10" t="n">
        <x:f>IFERROR(R128/Q128,0)</x:f>
        <x:v>0</x:v>
      </x:c>
      <x:c r="AC128" s="10" t="n">
        <x:f>IFERROR(U128/R128,0)</x:f>
        <x:v>0</x:v>
      </x:c>
      <x:c r="AD128" s="12" t="n">
        <x:f>IFERROR(R128/U128,0)</x:f>
        <x:v>0</x:v>
      </x:c>
      <x:c r="AE128" s="10" t="n">
        <x:f>IFERROR(U128/Q128,0)</x:f>
        <x:v>0</x:v>
      </x:c>
      <x:c r="AF128" s="10" t="n">
        <x:f>IF(Q128=0,M128,IF(U128=0,IF(Q128&gt;=10,MAX(0.02,M128*0.7),M128),IF(AD128=0,M128,MAX(0.02,IF(AD128&gt;Summary!$B$2,M128*Summary!$B$2/AD128,MIN(M128*1.2,M128*Summary!$B$2/AD128))))))</x:f>
        <x:v>0.09</x:v>
      </x:c>
      <x:c r="AG128" s="11" t="n">
        <x:f>IFERROR(AF128/M128-1,0)</x:f>
        <x:v>0</x:v>
      </x:c>
      <x:c r="AH128" t="str">
        <x:f>IF(Q128=0,"Need clicks",IF(AND(U128=0,Q128&gt;=10),"No sales: lower/pause",IF(AND(AD128&gt;Summary!$B$2,T128&gt;0),"Over target: reduce",IF(AND(AD128&lt;=Summary!$B$2,T128&gt;0),"At/under target: scale/hold",IF(AND(Q128&gt;0,T128=0),"Collect data","Review")))))</x:f>
        <x:v>Need clicks</x:v>
      </x:c>
      <x:c r="AI128" s="10" t="n">
        <x:f>IFERROR(IF(U128=0,R128,MAX(0,R128-(U128*Summary!$B$2))),0)</x:f>
        <x:v>0</x:v>
      </x:c>
      <x:c r="AJ128" t="str">
        <x:f>IF(AH128="No sales: lower/pause","Waste",IF(AH128="Over target: reduce","Inefficient",IF(AH128="At/under target: scale/hold","Efficient",IF(AND(O128&gt;=1000,Q128=0),"High imp/no click","Data gathering"))))</x:f>
        <x:v>Data gathering</x:v>
      </x:c>
    </x:row>
    <x:row r="129">
      <x:c r="A129" t="s">
        <x:v>22</x:v>
      </x:c>
      <x:c r="B129" t="s">
        <x:v>199</x:v>
      </x:c>
      <x:c r="C129" t="s">
        <x:v>22</x:v>
      </x:c>
      <x:c r="D129" t="s">
        <x:v>24</x:v>
      </x:c>
      <x:c r="E129" t="s">
        <x:v>63</x:v>
      </x:c>
      <x:c r="F129" t="s">
        <x:v>26</x:v>
      </x:c>
      <x:c r="G129" t="s">
        <x:v>27</x:v>
      </x:c>
      <x:c r="H129" t="s">
        <x:v>196</x:v>
      </x:c>
      <x:c r="I129">
        <x:v>1</x:v>
      </x:c>
      <x:c r="L129">
        <x:v>0</x:v>
      </x:c>
      <x:c r="M129">
        <x:v>1.1100000000000001</x:v>
      </x:c>
      <x:c r="N129">
        <x:v>4.07</x:v>
      </x:c>
      <x:c r="O129">
        <x:v>28</x:v>
      </x:c>
      <x:c r="P129">
        <x:v>0</x:v>
      </x:c>
      <x:c r="Q129">
        <x:v>0</x:v>
      </x:c>
      <x:c r="R129" s="10">
        <x:v>0</x:v>
      </x:c>
      <x:c r="S129">
        <x:v>0</x:v>
      </x:c>
      <x:c r="T129">
        <x:v>0</x:v>
      </x:c>
      <x:c r="U129" s="10">
        <x:v>0</x:v>
      </x:c>
      <x:c r="W129" s="11" t="n">
        <x:f>Summary!$B$2</x:f>
        <x:v>0.15</x:v>
      </x:c>
      <x:c r="X129" s="11" t="n">
        <x:f>IFERROR(AD129-Summary!$B$2,"")</x:f>
        <x:v>-0.15</x:v>
      </x:c>
      <x:c r="Y129" s="10" t="str">
        <x:f>IFERROR((U129/Q129)*Summary!$B$2,"")</x:f>
      </x:c>
      <x:c r="Z129" s="12" t="n">
        <x:f>IFERROR(Q129/O129,0)</x:f>
        <x:v>0</x:v>
      </x:c>
      <x:c r="AA129" s="12" t="n">
        <x:f>IFERROR(T129/Q129,0)</x:f>
        <x:v>0</x:v>
      </x:c>
      <x:c r="AB129" s="10" t="n">
        <x:f>IFERROR(R129/Q129,0)</x:f>
        <x:v>0</x:v>
      </x:c>
      <x:c r="AC129" s="10" t="n">
        <x:f>IFERROR(U129/R129,0)</x:f>
        <x:v>0</x:v>
      </x:c>
      <x:c r="AD129" s="12" t="n">
        <x:f>IFERROR(R129/U129,0)</x:f>
        <x:v>0</x:v>
      </x:c>
      <x:c r="AE129" s="10" t="n">
        <x:f>IFERROR(U129/Q129,0)</x:f>
        <x:v>0</x:v>
      </x:c>
      <x:c r="AF129" s="10" t="n">
        <x:f>IF(Q129=0,M129,IF(U129=0,IF(Q129&gt;=10,MAX(0.02,M129*0.7),M129),IF(AD129=0,M129,MAX(0.02,IF(AD129&gt;Summary!$B$2,M129*Summary!$B$2/AD129,MIN(M129*1.2,M129*Summary!$B$2/AD129))))))</x:f>
        <x:v>1.11</x:v>
      </x:c>
      <x:c r="AG129" s="11" t="n">
        <x:f>IFERROR(AF129/M129-1,0)</x:f>
        <x:v>0</x:v>
      </x:c>
      <x:c r="AH129" t="str">
        <x:f>IF(Q129=0,"Need clicks",IF(AND(U129=0,Q129&gt;=10),"No sales: lower/pause",IF(AND(AD129&gt;Summary!$B$2,T129&gt;0),"Over target: reduce",IF(AND(AD129&lt;=Summary!$B$2,T129&gt;0),"At/under target: scale/hold",IF(AND(Q129&gt;0,T129=0),"Collect data","Review")))))</x:f>
        <x:v>Need clicks</x:v>
      </x:c>
      <x:c r="AI129" s="10" t="n">
        <x:f>IFERROR(IF(U129=0,R129,MAX(0,R129-(U129*Summary!$B$2))),0)</x:f>
        <x:v>0</x:v>
      </x:c>
      <x:c r="AJ129" t="str">
        <x:f>IF(AH129="No sales: lower/pause","Waste",IF(AH129="Over target: reduce","Inefficient",IF(AH129="At/under target: scale/hold","Efficient",IF(AND(O129&gt;=1000,Q129=0),"High imp/no click","Data gathering"))))</x:f>
        <x:v>Data gathering</x:v>
      </x:c>
    </x:row>
    <x:row r="130">
      <x:c r="A130" t="s">
        <x:v>22</x:v>
      </x:c>
      <x:c r="B130" t="s">
        <x:v>200</x:v>
      </x:c>
      <x:c r="C130" t="s">
        <x:v>22</x:v>
      </x:c>
      <x:c r="D130" t="s">
        <x:v>24</x:v>
      </x:c>
      <x:c r="E130" t="s">
        <x:v>63</x:v>
      </x:c>
      <x:c r="F130" t="s">
        <x:v>26</x:v>
      </x:c>
      <x:c r="G130" t="s">
        <x:v>27</x:v>
      </x:c>
      <x:c r="H130" t="s">
        <x:v>196</x:v>
      </x:c>
      <x:c r="I130">
        <x:v>1</x:v>
      </x:c>
      <x:c r="L130">
        <x:v>0</x:v>
      </x:c>
      <x:c r="M130">
        <x:v>7.0000000000000007E-2</x:v>
      </x:c>
      <x:c r="N130">
        <x:v>2.87</x:v>
      </x:c>
      <x:c r="O130">
        <x:v>1</x:v>
      </x:c>
      <x:c r="P130">
        <x:v>0</x:v>
      </x:c>
      <x:c r="Q130">
        <x:v>0</x:v>
      </x:c>
      <x:c r="R130" s="10">
        <x:v>0</x:v>
      </x:c>
      <x:c r="S130">
        <x:v>0</x:v>
      </x:c>
      <x:c r="T130">
        <x:v>0</x:v>
      </x:c>
      <x:c r="U130" s="10">
        <x:v>0</x:v>
      </x:c>
      <x:c r="W130" s="11" t="n">
        <x:f>Summary!$B$2</x:f>
        <x:v>0.15</x:v>
      </x:c>
      <x:c r="X130" s="11" t="n">
        <x:f>IFERROR(AD130-Summary!$B$2,"")</x:f>
        <x:v>-0.15</x:v>
      </x:c>
      <x:c r="Y130" s="10" t="str">
        <x:f>IFERROR((U130/Q130)*Summary!$B$2,"")</x:f>
      </x:c>
      <x:c r="Z130" s="12" t="n">
        <x:f>IFERROR(Q130/O130,0)</x:f>
        <x:v>0</x:v>
      </x:c>
      <x:c r="AA130" s="12" t="n">
        <x:f>IFERROR(T130/Q130,0)</x:f>
        <x:v>0</x:v>
      </x:c>
      <x:c r="AB130" s="10" t="n">
        <x:f>IFERROR(R130/Q130,0)</x:f>
        <x:v>0</x:v>
      </x:c>
      <x:c r="AC130" s="10" t="n">
        <x:f>IFERROR(U130/R130,0)</x:f>
        <x:v>0</x:v>
      </x:c>
      <x:c r="AD130" s="12" t="n">
        <x:f>IFERROR(R130/U130,0)</x:f>
        <x:v>0</x:v>
      </x:c>
      <x:c r="AE130" s="10" t="n">
        <x:f>IFERROR(U130/Q130,0)</x:f>
        <x:v>0</x:v>
      </x:c>
      <x:c r="AF130" s="10" t="n">
        <x:f>IF(Q130=0,M130,IF(U130=0,IF(Q130&gt;=10,MAX(0.02,M130*0.7),M130),IF(AD130=0,M130,MAX(0.02,IF(AD130&gt;Summary!$B$2,M130*Summary!$B$2/AD130,MIN(M130*1.2,M130*Summary!$B$2/AD130))))))</x:f>
        <x:v>0.07</x:v>
      </x:c>
      <x:c r="AG130" s="11" t="n">
        <x:f>IFERROR(AF130/M130-1,0)</x:f>
        <x:v>0</x:v>
      </x:c>
      <x:c r="AH130" t="str">
        <x:f>IF(Q130=0,"Need clicks",IF(AND(U130=0,Q130&gt;=10),"No sales: lower/pause",IF(AND(AD130&gt;Summary!$B$2,T130&gt;0),"Over target: reduce",IF(AND(AD130&lt;=Summary!$B$2,T130&gt;0),"At/under target: scale/hold",IF(AND(Q130&gt;0,T130=0),"Collect data","Review")))))</x:f>
        <x:v>Need clicks</x:v>
      </x:c>
      <x:c r="AI130" s="10" t="n">
        <x:f>IFERROR(IF(U130=0,R130,MAX(0,R130-(U130*Summary!$B$2))),0)</x:f>
        <x:v>0</x:v>
      </x:c>
      <x:c r="AJ130" t="str">
        <x:f>IF(AH130="No sales: lower/pause","Waste",IF(AH130="Over target: reduce","Inefficient",IF(AH130="At/under target: scale/hold","Efficient",IF(AND(O130&gt;=1000,Q130=0),"High imp/no click","Data gathering"))))</x:f>
        <x:v>Data gathering</x:v>
      </x:c>
    </x:row>
    <x:row r="131">
      <x:c r="A131" t="s">
        <x:v>22</x:v>
      </x:c>
      <x:c r="B131" t="s">
        <x:v>201</x:v>
      </x:c>
      <x:c r="C131" t="s">
        <x:v>22</x:v>
      </x:c>
      <x:c r="D131" t="s">
        <x:v>24</x:v>
      </x:c>
      <x:c r="E131" t="s">
        <x:v>63</x:v>
      </x:c>
      <x:c r="F131" t="s">
        <x:v>26</x:v>
      </x:c>
      <x:c r="G131" t="s">
        <x:v>27</x:v>
      </x:c>
      <x:c r="H131" t="s">
        <x:v>196</x:v>
      </x:c>
      <x:c r="I131">
        <x:v>1</x:v>
      </x:c>
      <x:c r="L131">
        <x:v>0</x:v>
      </x:c>
      <x:c r="M131">
        <x:v>7.0000000000000007E-2</x:v>
      </x:c>
      <x:c r="N131">
        <x:v>2.66</x:v>
      </x:c>
      <x:c r="O131">
        <x:v>5</x:v>
      </x:c>
      <x:c r="P131">
        <x:v>0</x:v>
      </x:c>
      <x:c r="Q131">
        <x:v>0</x:v>
      </x:c>
      <x:c r="R131" s="10">
        <x:v>0</x:v>
      </x:c>
      <x:c r="S131">
        <x:v>0</x:v>
      </x:c>
      <x:c r="T131">
        <x:v>0</x:v>
      </x:c>
      <x:c r="U131" s="10">
        <x:v>0</x:v>
      </x:c>
      <x:c r="W131" s="11" t="n">
        <x:f>Summary!$B$2</x:f>
        <x:v>0.15</x:v>
      </x:c>
      <x:c r="X131" s="11" t="n">
        <x:f>IFERROR(AD131-Summary!$B$2,"")</x:f>
        <x:v>-0.15</x:v>
      </x:c>
      <x:c r="Y131" s="10" t="str">
        <x:f>IFERROR((U131/Q131)*Summary!$B$2,"")</x:f>
      </x:c>
      <x:c r="Z131" s="12" t="n">
        <x:f>IFERROR(Q131/O131,0)</x:f>
        <x:v>0</x:v>
      </x:c>
      <x:c r="AA131" s="12" t="n">
        <x:f>IFERROR(T131/Q131,0)</x:f>
        <x:v>0</x:v>
      </x:c>
      <x:c r="AB131" s="10" t="n">
        <x:f>IFERROR(R131/Q131,0)</x:f>
        <x:v>0</x:v>
      </x:c>
      <x:c r="AC131" s="10" t="n">
        <x:f>IFERROR(U131/R131,0)</x:f>
        <x:v>0</x:v>
      </x:c>
      <x:c r="AD131" s="12" t="n">
        <x:f>IFERROR(R131/U131,0)</x:f>
        <x:v>0</x:v>
      </x:c>
      <x:c r="AE131" s="10" t="n">
        <x:f>IFERROR(U131/Q131,0)</x:f>
        <x:v>0</x:v>
      </x:c>
      <x:c r="AF131" s="10" t="n">
        <x:f>IF(Q131=0,M131,IF(U131=0,IF(Q131&gt;=10,MAX(0.02,M131*0.7),M131),IF(AD131=0,M131,MAX(0.02,IF(AD131&gt;Summary!$B$2,M131*Summary!$B$2/AD131,MIN(M131*1.2,M131*Summary!$B$2/AD131))))))</x:f>
        <x:v>0.07</x:v>
      </x:c>
      <x:c r="AG131" s="11" t="n">
        <x:f>IFERROR(AF131/M131-1,0)</x:f>
        <x:v>0</x:v>
      </x:c>
      <x:c r="AH131" t="str">
        <x:f>IF(Q131=0,"Need clicks",IF(AND(U131=0,Q131&gt;=10),"No sales: lower/pause",IF(AND(AD131&gt;Summary!$B$2,T131&gt;0),"Over target: reduce",IF(AND(AD131&lt;=Summary!$B$2,T131&gt;0),"At/under target: scale/hold",IF(AND(Q131&gt;0,T131=0),"Collect data","Review")))))</x:f>
        <x:v>Need clicks</x:v>
      </x:c>
      <x:c r="AI131" s="10" t="n">
        <x:f>IFERROR(IF(U131=0,R131,MAX(0,R131-(U131*Summary!$B$2))),0)</x:f>
        <x:v>0</x:v>
      </x:c>
      <x:c r="AJ131" t="str">
        <x:f>IF(AH131="No sales: lower/pause","Waste",IF(AH131="Over target: reduce","Inefficient",IF(AH131="At/under target: scale/hold","Efficient",IF(AND(O131&gt;=1000,Q131=0),"High imp/no click","Data gathering"))))</x:f>
        <x:v>Data gathering</x:v>
      </x:c>
    </x:row>
    <x:row r="132">
      <x:c r="A132" t="s">
        <x:v>22</x:v>
      </x:c>
      <x:c r="B132" t="s">
        <x:v>202</x:v>
      </x:c>
      <x:c r="C132" t="s">
        <x:v>22</x:v>
      </x:c>
      <x:c r="D132" t="s">
        <x:v>24</x:v>
      </x:c>
      <x:c r="E132" t="s">
        <x:v>63</x:v>
      </x:c>
      <x:c r="F132" t="s">
        <x:v>26</x:v>
      </x:c>
      <x:c r="G132" t="s">
        <x:v>27</x:v>
      </x:c>
      <x:c r="H132" t="s">
        <x:v>196</x:v>
      </x:c>
      <x:c r="I132">
        <x:v>1</x:v>
      </x:c>
      <x:c r="L132">
        <x:v>0</x:v>
      </x:c>
      <x:c r="M132">
        <x:v>1.1599999999999999</x:v>
      </x:c>
      <x:c r="N132">
        <x:v>6</x:v>
      </x:c>
      <x:c r="O132">
        <x:v>12</x:v>
      </x:c>
      <x:c r="P132">
        <x:v>0</x:v>
      </x:c>
      <x:c r="Q132">
        <x:v>0</x:v>
      </x:c>
      <x:c r="R132" s="10">
        <x:v>0</x:v>
      </x:c>
      <x:c r="S132">
        <x:v>0</x:v>
      </x:c>
      <x:c r="T132">
        <x:v>0</x:v>
      </x:c>
      <x:c r="U132" s="10">
        <x:v>0</x:v>
      </x:c>
      <x:c r="W132" s="11" t="n">
        <x:f>Summary!$B$2</x:f>
        <x:v>0.15</x:v>
      </x:c>
      <x:c r="X132" s="11" t="n">
        <x:f>IFERROR(AD132-Summary!$B$2,"")</x:f>
        <x:v>-0.15</x:v>
      </x:c>
      <x:c r="Y132" s="10" t="str">
        <x:f>IFERROR((U132/Q132)*Summary!$B$2,"")</x:f>
      </x:c>
      <x:c r="Z132" s="12" t="n">
        <x:f>IFERROR(Q132/O132,0)</x:f>
        <x:v>0</x:v>
      </x:c>
      <x:c r="AA132" s="12" t="n">
        <x:f>IFERROR(T132/Q132,0)</x:f>
        <x:v>0</x:v>
      </x:c>
      <x:c r="AB132" s="10" t="n">
        <x:f>IFERROR(R132/Q132,0)</x:f>
        <x:v>0</x:v>
      </x:c>
      <x:c r="AC132" s="10" t="n">
        <x:f>IFERROR(U132/R132,0)</x:f>
        <x:v>0</x:v>
      </x:c>
      <x:c r="AD132" s="12" t="n">
        <x:f>IFERROR(R132/U132,0)</x:f>
        <x:v>0</x:v>
      </x:c>
      <x:c r="AE132" s="10" t="n">
        <x:f>IFERROR(U132/Q132,0)</x:f>
        <x:v>0</x:v>
      </x:c>
      <x:c r="AF132" s="10" t="n">
        <x:f>IF(Q132=0,M132,IF(U132=0,IF(Q132&gt;=10,MAX(0.02,M132*0.7),M132),IF(AD132=0,M132,MAX(0.02,IF(AD132&gt;Summary!$B$2,M132*Summary!$B$2/AD132,MIN(M132*1.2,M132*Summary!$B$2/AD132))))))</x:f>
        <x:v>1.16</x:v>
      </x:c>
      <x:c r="AG132" s="11" t="n">
        <x:f>IFERROR(AF132/M132-1,0)</x:f>
        <x:v>0</x:v>
      </x:c>
      <x:c r="AH132" t="str">
        <x:f>IF(Q132=0,"Need clicks",IF(AND(U132=0,Q132&gt;=10),"No sales: lower/pause",IF(AND(AD132&gt;Summary!$B$2,T132&gt;0),"Over target: reduce",IF(AND(AD132&lt;=Summary!$B$2,T132&gt;0),"At/under target: scale/hold",IF(AND(Q132&gt;0,T132=0),"Collect data","Review")))))</x:f>
        <x:v>Need clicks</x:v>
      </x:c>
      <x:c r="AI132" s="10" t="n">
        <x:f>IFERROR(IF(U132=0,R132,MAX(0,R132-(U132*Summary!$B$2))),0)</x:f>
        <x:v>0</x:v>
      </x:c>
      <x:c r="AJ132" t="str">
        <x:f>IF(AH132="No sales: lower/pause","Waste",IF(AH132="Over target: reduce","Inefficient",IF(AH132="At/under target: scale/hold","Efficient",IF(AND(O132&gt;=1000,Q132=0),"High imp/no click","Data gathering"))))</x:f>
        <x:v>Data gathering</x:v>
      </x:c>
    </x:row>
    <x:row r="133">
      <x:c r="A133" t="s">
        <x:v>22</x:v>
      </x:c>
      <x:c r="B133" t="s">
        <x:v>203</x:v>
      </x:c>
      <x:c r="C133" t="s">
        <x:v>22</x:v>
      </x:c>
      <x:c r="D133" t="s">
        <x:v>24</x:v>
      </x:c>
      <x:c r="E133" t="s">
        <x:v>63</x:v>
      </x:c>
      <x:c r="F133" t="s">
        <x:v>26</x:v>
      </x:c>
      <x:c r="G133" t="s">
        <x:v>27</x:v>
      </x:c>
      <x:c r="H133" t="s">
        <x:v>196</x:v>
      </x:c>
      <x:c r="I133">
        <x:v>1</x:v>
      </x:c>
      <x:c r="L133">
        <x:v>0</x:v>
      </x:c>
      <x:c r="M133">
        <x:v>7.0000000000000007E-2</x:v>
      </x:c>
      <x:c r="N133">
        <x:v>4.63</x:v>
      </x:c>
      <x:c r="O133">
        <x:v>4</x:v>
      </x:c>
      <x:c r="P133">
        <x:v>0</x:v>
      </x:c>
      <x:c r="Q133">
        <x:v>0</x:v>
      </x:c>
      <x:c r="R133" s="10">
        <x:v>0</x:v>
      </x:c>
      <x:c r="S133">
        <x:v>0</x:v>
      </x:c>
      <x:c r="T133">
        <x:v>0</x:v>
      </x:c>
      <x:c r="U133" s="10">
        <x:v>0</x:v>
      </x:c>
      <x:c r="W133" s="11" t="n">
        <x:f>Summary!$B$2</x:f>
        <x:v>0.15</x:v>
      </x:c>
      <x:c r="X133" s="11" t="n">
        <x:f>IFERROR(AD133-Summary!$B$2,"")</x:f>
        <x:v>-0.15</x:v>
      </x:c>
      <x:c r="Y133" s="10" t="str">
        <x:f>IFERROR((U133/Q133)*Summary!$B$2,"")</x:f>
      </x:c>
      <x:c r="Z133" s="12" t="n">
        <x:f>IFERROR(Q133/O133,0)</x:f>
        <x:v>0</x:v>
      </x:c>
      <x:c r="AA133" s="12" t="n">
        <x:f>IFERROR(T133/Q133,0)</x:f>
        <x:v>0</x:v>
      </x:c>
      <x:c r="AB133" s="10" t="n">
        <x:f>IFERROR(R133/Q133,0)</x:f>
        <x:v>0</x:v>
      </x:c>
      <x:c r="AC133" s="10" t="n">
        <x:f>IFERROR(U133/R133,0)</x:f>
        <x:v>0</x:v>
      </x:c>
      <x:c r="AD133" s="12" t="n">
        <x:f>IFERROR(R133/U133,0)</x:f>
        <x:v>0</x:v>
      </x:c>
      <x:c r="AE133" s="10" t="n">
        <x:f>IFERROR(U133/Q133,0)</x:f>
        <x:v>0</x:v>
      </x:c>
      <x:c r="AF133" s="10" t="n">
        <x:f>IF(Q133=0,M133,IF(U133=0,IF(Q133&gt;=10,MAX(0.02,M133*0.7),M133),IF(AD133=0,M133,MAX(0.02,IF(AD133&gt;Summary!$B$2,M133*Summary!$B$2/AD133,MIN(M133*1.2,M133*Summary!$B$2/AD133))))))</x:f>
        <x:v>0.07</x:v>
      </x:c>
      <x:c r="AG133" s="11" t="n">
        <x:f>IFERROR(AF133/M133-1,0)</x:f>
        <x:v>0</x:v>
      </x:c>
      <x:c r="AH133" t="str">
        <x:f>IF(Q133=0,"Need clicks",IF(AND(U133=0,Q133&gt;=10),"No sales: lower/pause",IF(AND(AD133&gt;Summary!$B$2,T133&gt;0),"Over target: reduce",IF(AND(AD133&lt;=Summary!$B$2,T133&gt;0),"At/under target: scale/hold",IF(AND(Q133&gt;0,T133=0),"Collect data","Review")))))</x:f>
        <x:v>Need clicks</x:v>
      </x:c>
      <x:c r="AI133" s="10" t="n">
        <x:f>IFERROR(IF(U133=0,R133,MAX(0,R133-(U133*Summary!$B$2))),0)</x:f>
        <x:v>0</x:v>
      </x:c>
      <x:c r="AJ133" t="str">
        <x:f>IF(AH133="No sales: lower/pause","Waste",IF(AH133="Over target: reduce","Inefficient",IF(AH133="At/under target: scale/hold","Efficient",IF(AND(O133&gt;=1000,Q133=0),"High imp/no click","Data gathering"))))</x:f>
        <x:v>Data gathering</x:v>
      </x:c>
    </x:row>
    <x:row r="134">
      <x:c r="A134" t="s">
        <x:v>22</x:v>
      </x:c>
      <x:c r="B134" t="s">
        <x:v>204</x:v>
      </x:c>
      <x:c r="C134" t="s">
        <x:v>22</x:v>
      </x:c>
      <x:c r="D134" t="s">
        <x:v>24</x:v>
      </x:c>
      <x:c r="E134" t="s">
        <x:v>63</x:v>
      </x:c>
      <x:c r="F134" t="s">
        <x:v>26</x:v>
      </x:c>
      <x:c r="G134" t="s">
        <x:v>27</x:v>
      </x:c>
      <x:c r="H134" t="s">
        <x:v>196</x:v>
      </x:c>
      <x:c r="I134">
        <x:v>1</x:v>
      </x:c>
      <x:c r="L134">
        <x:v>0</x:v>
      </x:c>
      <x:c r="M134">
        <x:v>1.1100000000000001</x:v>
      </x:c>
      <x:c r="N134">
        <x:v>4</x:v>
      </x:c>
      <x:c r="O134">
        <x:v>13</x:v>
      </x:c>
      <x:c r="P134" s="1" t="s">
        <x:v>205</x:v>
      </x:c>
      <x:c r="Q134">
        <x:v>0</x:v>
      </x:c>
      <x:c r="R134" s="10">
        <x:v>0</x:v>
      </x:c>
      <x:c r="S134">
        <x:v>0</x:v>
      </x:c>
      <x:c r="T134">
        <x:v>0</x:v>
      </x:c>
      <x:c r="U134" s="10">
        <x:v>0</x:v>
      </x:c>
      <x:c r="W134" s="11" t="n">
        <x:f>Summary!$B$2</x:f>
        <x:v>0.15</x:v>
      </x:c>
      <x:c r="X134" s="11" t="n">
        <x:f>IFERROR(AD134-Summary!$B$2,"")</x:f>
        <x:v>-0.15</x:v>
      </x:c>
      <x:c r="Y134" s="10" t="str">
        <x:f>IFERROR((U134/Q134)*Summary!$B$2,"")</x:f>
      </x:c>
      <x:c r="Z134" s="12" t="n">
        <x:f>IFERROR(Q134/O134,0)</x:f>
        <x:v>0</x:v>
      </x:c>
      <x:c r="AA134" s="12" t="n">
        <x:f>IFERROR(T134/Q134,0)</x:f>
        <x:v>0</x:v>
      </x:c>
      <x:c r="AB134" s="10" t="n">
        <x:f>IFERROR(R134/Q134,0)</x:f>
        <x:v>0</x:v>
      </x:c>
      <x:c r="AC134" s="10" t="n">
        <x:f>IFERROR(U134/R134,0)</x:f>
        <x:v>0</x:v>
      </x:c>
      <x:c r="AD134" s="12" t="n">
        <x:f>IFERROR(R134/U134,0)</x:f>
        <x:v>0</x:v>
      </x:c>
      <x:c r="AE134" s="10" t="n">
        <x:f>IFERROR(U134/Q134,0)</x:f>
        <x:v>0</x:v>
      </x:c>
      <x:c r="AF134" s="10" t="n">
        <x:f>IF(Q134=0,M134,IF(U134=0,IF(Q134&gt;=10,MAX(0.02,M134*0.7),M134),IF(AD134=0,M134,MAX(0.02,IF(AD134&gt;Summary!$B$2,M134*Summary!$B$2/AD134,MIN(M134*1.2,M134*Summary!$B$2/AD134))))))</x:f>
        <x:v>1.11</x:v>
      </x:c>
      <x:c r="AG134" s="11" t="n">
        <x:f>IFERROR(AF134/M134-1,0)</x:f>
        <x:v>0</x:v>
      </x:c>
      <x:c r="AH134" t="str">
        <x:f>IF(Q134=0,"Need clicks",IF(AND(U134=0,Q134&gt;=10),"No sales: lower/pause",IF(AND(AD134&gt;Summary!$B$2,T134&gt;0),"Over target: reduce",IF(AND(AD134&lt;=Summary!$B$2,T134&gt;0),"At/under target: scale/hold",IF(AND(Q134&gt;0,T134=0),"Collect data","Review")))))</x:f>
        <x:v>Need clicks</x:v>
      </x:c>
      <x:c r="AI134" s="10" t="n">
        <x:f>IFERROR(IF(U134=0,R134,MAX(0,R134-(U134*Summary!$B$2))),0)</x:f>
        <x:v>0</x:v>
      </x:c>
      <x:c r="AJ134" t="str">
        <x:f>IF(AH134="No sales: lower/pause","Waste",IF(AH134="Over target: reduce","Inefficient",IF(AH134="At/under target: scale/hold","Efficient",IF(AND(O134&gt;=1000,Q134=0),"High imp/no click","Data gathering"))))</x:f>
        <x:v>Data gathering</x:v>
      </x:c>
    </x:row>
    <x:row r="135">
      <x:c r="A135" t="s">
        <x:v>22</x:v>
      </x:c>
      <x:c r="B135" t="s">
        <x:v>206</x:v>
      </x:c>
      <x:c r="C135" t="s">
        <x:v>22</x:v>
      </x:c>
      <x:c r="D135" t="s">
        <x:v>24</x:v>
      </x:c>
      <x:c r="E135" t="s">
        <x:v>63</x:v>
      </x:c>
      <x:c r="F135" t="s">
        <x:v>26</x:v>
      </x:c>
      <x:c r="G135" t="s">
        <x:v>27</x:v>
      </x:c>
      <x:c r="H135" t="s">
        <x:v>196</x:v>
      </x:c>
      <x:c r="I135">
        <x:v>1</x:v>
      </x:c>
      <x:c r="L135">
        <x:v>0</x:v>
      </x:c>
      <x:c r="M135">
        <x:v>7.0000000000000007E-2</x:v>
      </x:c>
      <x:c r="N135">
        <x:v>3.88</x:v>
      </x:c>
      <x:c r="O135">
        <x:v>7</x:v>
      </x:c>
      <x:c r="P135">
        <x:v>0</x:v>
      </x:c>
      <x:c r="Q135">
        <x:v>0</x:v>
      </x:c>
      <x:c r="R135" s="10">
        <x:v>0</x:v>
      </x:c>
      <x:c r="S135">
        <x:v>0</x:v>
      </x:c>
      <x:c r="T135">
        <x:v>0</x:v>
      </x:c>
      <x:c r="U135" s="10">
        <x:v>0</x:v>
      </x:c>
      <x:c r="W135" s="11" t="n">
        <x:f>Summary!$B$2</x:f>
        <x:v>0.15</x:v>
      </x:c>
      <x:c r="X135" s="11" t="n">
        <x:f>IFERROR(AD135-Summary!$B$2,"")</x:f>
        <x:v>-0.15</x:v>
      </x:c>
      <x:c r="Y135" s="10" t="str">
        <x:f>IFERROR((U135/Q135)*Summary!$B$2,"")</x:f>
      </x:c>
      <x:c r="Z135" s="12" t="n">
        <x:f>IFERROR(Q135/O135,0)</x:f>
        <x:v>0</x:v>
      </x:c>
      <x:c r="AA135" s="12" t="n">
        <x:f>IFERROR(T135/Q135,0)</x:f>
        <x:v>0</x:v>
      </x:c>
      <x:c r="AB135" s="10" t="n">
        <x:f>IFERROR(R135/Q135,0)</x:f>
        <x:v>0</x:v>
      </x:c>
      <x:c r="AC135" s="10" t="n">
        <x:f>IFERROR(U135/R135,0)</x:f>
        <x:v>0</x:v>
      </x:c>
      <x:c r="AD135" s="12" t="n">
        <x:f>IFERROR(R135/U135,0)</x:f>
        <x:v>0</x:v>
      </x:c>
      <x:c r="AE135" s="10" t="n">
        <x:f>IFERROR(U135/Q135,0)</x:f>
        <x:v>0</x:v>
      </x:c>
      <x:c r="AF135" s="10" t="n">
        <x:f>IF(Q135=0,M135,IF(U135=0,IF(Q135&gt;=10,MAX(0.02,M135*0.7),M135),IF(AD135=0,M135,MAX(0.02,IF(AD135&gt;Summary!$B$2,M135*Summary!$B$2/AD135,MIN(M135*1.2,M135*Summary!$B$2/AD135))))))</x:f>
        <x:v>0.07</x:v>
      </x:c>
      <x:c r="AG135" s="11" t="n">
        <x:f>IFERROR(AF135/M135-1,0)</x:f>
        <x:v>0</x:v>
      </x:c>
      <x:c r="AH135" t="str">
        <x:f>IF(Q135=0,"Need clicks",IF(AND(U135=0,Q135&gt;=10),"No sales: lower/pause",IF(AND(AD135&gt;Summary!$B$2,T135&gt;0),"Over target: reduce",IF(AND(AD135&lt;=Summary!$B$2,T135&gt;0),"At/under target: scale/hold",IF(AND(Q135&gt;0,T135=0),"Collect data","Review")))))</x:f>
        <x:v>Need clicks</x:v>
      </x:c>
      <x:c r="AI135" s="10" t="n">
        <x:f>IFERROR(IF(U135=0,R135,MAX(0,R135-(U135*Summary!$B$2))),0)</x:f>
        <x:v>0</x:v>
      </x:c>
      <x:c r="AJ135" t="str">
        <x:f>IF(AH135="No sales: lower/pause","Waste",IF(AH135="Over target: reduce","Inefficient",IF(AH135="At/under target: scale/hold","Efficient",IF(AND(O135&gt;=1000,Q135=0),"High imp/no click","Data gathering"))))</x:f>
        <x:v>Data gathering</x:v>
      </x:c>
    </x:row>
    <x:row r="136">
      <x:c r="A136" t="s">
        <x:v>22</x:v>
      </x:c>
      <x:c r="B136" t="s">
        <x:v>207</x:v>
      </x:c>
      <x:c r="C136" t="s">
        <x:v>22</x:v>
      </x:c>
      <x:c r="D136" t="s">
        <x:v>24</x:v>
      </x:c>
      <x:c r="E136" t="s">
        <x:v>63</x:v>
      </x:c>
      <x:c r="F136" t="s">
        <x:v>26</x:v>
      </x:c>
      <x:c r="G136" t="s">
        <x:v>27</x:v>
      </x:c>
      <x:c r="H136" t="s">
        <x:v>196</x:v>
      </x:c>
      <x:c r="I136">
        <x:v>1</x:v>
      </x:c>
      <x:c r="L136">
        <x:v>0</x:v>
      </x:c>
      <x:c r="M136">
        <x:v>0.11</x:v>
      </x:c>
      <x:c r="N136">
        <x:v>2.89</x:v>
      </x:c>
      <x:c r="O136">
        <x:v>27</x:v>
      </x:c>
      <x:c r="P136">
        <x:v>0</x:v>
      </x:c>
      <x:c r="Q136">
        <x:v>0</x:v>
      </x:c>
      <x:c r="R136" s="10">
        <x:v>0</x:v>
      </x:c>
      <x:c r="S136">
        <x:v>0</x:v>
      </x:c>
      <x:c r="T136">
        <x:v>0</x:v>
      </x:c>
      <x:c r="U136" s="10">
        <x:v>0</x:v>
      </x:c>
      <x:c r="W136" s="11" t="n">
        <x:f>Summary!$B$2</x:f>
        <x:v>0.15</x:v>
      </x:c>
      <x:c r="X136" s="11" t="n">
        <x:f>IFERROR(AD136-Summary!$B$2,"")</x:f>
        <x:v>-0.15</x:v>
      </x:c>
      <x:c r="Y136" s="10" t="str">
        <x:f>IFERROR((U136/Q136)*Summary!$B$2,"")</x:f>
      </x:c>
      <x:c r="Z136" s="12" t="n">
        <x:f>IFERROR(Q136/O136,0)</x:f>
        <x:v>0</x:v>
      </x:c>
      <x:c r="AA136" s="12" t="n">
        <x:f>IFERROR(T136/Q136,0)</x:f>
        <x:v>0</x:v>
      </x:c>
      <x:c r="AB136" s="10" t="n">
        <x:f>IFERROR(R136/Q136,0)</x:f>
        <x:v>0</x:v>
      </x:c>
      <x:c r="AC136" s="10" t="n">
        <x:f>IFERROR(U136/R136,0)</x:f>
        <x:v>0</x:v>
      </x:c>
      <x:c r="AD136" s="12" t="n">
        <x:f>IFERROR(R136/U136,0)</x:f>
        <x:v>0</x:v>
      </x:c>
      <x:c r="AE136" s="10" t="n">
        <x:f>IFERROR(U136/Q136,0)</x:f>
        <x:v>0</x:v>
      </x:c>
      <x:c r="AF136" s="10" t="n">
        <x:f>IF(Q136=0,M136,IF(U136=0,IF(Q136&gt;=10,MAX(0.02,M136*0.7),M136),IF(AD136=0,M136,MAX(0.02,IF(AD136&gt;Summary!$B$2,M136*Summary!$B$2/AD136,MIN(M136*1.2,M136*Summary!$B$2/AD136))))))</x:f>
        <x:v>0.11</x:v>
      </x:c>
      <x:c r="AG136" s="11" t="n">
        <x:f>IFERROR(AF136/M136-1,0)</x:f>
        <x:v>0</x:v>
      </x:c>
      <x:c r="AH136" t="str">
        <x:f>IF(Q136=0,"Need clicks",IF(AND(U136=0,Q136&gt;=10),"No sales: lower/pause",IF(AND(AD136&gt;Summary!$B$2,T136&gt;0),"Over target: reduce",IF(AND(AD136&lt;=Summary!$B$2,T136&gt;0),"At/under target: scale/hold",IF(AND(Q136&gt;0,T136=0),"Collect data","Review")))))</x:f>
        <x:v>Need clicks</x:v>
      </x:c>
      <x:c r="AI136" s="10" t="n">
        <x:f>IFERROR(IF(U136=0,R136,MAX(0,R136-(U136*Summary!$B$2))),0)</x:f>
        <x:v>0</x:v>
      </x:c>
      <x:c r="AJ136" t="str">
        <x:f>IF(AH136="No sales: lower/pause","Waste",IF(AH136="Over target: reduce","Inefficient",IF(AH136="At/under target: scale/hold","Efficient",IF(AND(O136&gt;=1000,Q136=0),"High imp/no click","Data gathering"))))</x:f>
        <x:v>Data gathering</x:v>
      </x:c>
    </x:row>
    <x:row r="137">
      <x:c r="A137" t="s">
        <x:v>22</x:v>
      </x:c>
      <x:c r="B137" t="s">
        <x:v>90</x:v>
      </x:c>
      <x:c r="C137" t="s">
        <x:v>22</x:v>
      </x:c>
      <x:c r="D137" t="s">
        <x:v>24</x:v>
      </x:c>
      <x:c r="E137" t="s">
        <x:v>63</x:v>
      </x:c>
      <x:c r="F137" t="s">
        <x:v>26</x:v>
      </x:c>
      <x:c r="G137" t="s">
        <x:v>27</x:v>
      </x:c>
      <x:c r="H137" t="s">
        <x:v>196</x:v>
      </x:c>
      <x:c r="I137">
        <x:v>1</x:v>
      </x:c>
      <x:c r="L137">
        <x:v>0</x:v>
      </x:c>
      <x:c r="M137">
        <x:v>0.14000000000000001</x:v>
      </x:c>
      <x:c r="N137">
        <x:v>2.52</x:v>
      </x:c>
      <x:c r="O137">
        <x:v>4</x:v>
      </x:c>
      <x:c r="P137">
        <x:v>0</x:v>
      </x:c>
      <x:c r="Q137">
        <x:v>0</x:v>
      </x:c>
      <x:c r="R137" s="10">
        <x:v>0</x:v>
      </x:c>
      <x:c r="S137">
        <x:v>0</x:v>
      </x:c>
      <x:c r="T137">
        <x:v>0</x:v>
      </x:c>
      <x:c r="U137" s="10">
        <x:v>0</x:v>
      </x:c>
      <x:c r="W137" s="11" t="n">
        <x:f>Summary!$B$2</x:f>
        <x:v>0.15</x:v>
      </x:c>
      <x:c r="X137" s="11" t="n">
        <x:f>IFERROR(AD137-Summary!$B$2,"")</x:f>
        <x:v>-0.15</x:v>
      </x:c>
      <x:c r="Y137" s="10" t="str">
        <x:f>IFERROR((U137/Q137)*Summary!$B$2,"")</x:f>
      </x:c>
      <x:c r="Z137" s="12" t="n">
        <x:f>IFERROR(Q137/O137,0)</x:f>
        <x:v>0</x:v>
      </x:c>
      <x:c r="AA137" s="12" t="n">
        <x:f>IFERROR(T137/Q137,0)</x:f>
        <x:v>0</x:v>
      </x:c>
      <x:c r="AB137" s="10" t="n">
        <x:f>IFERROR(R137/Q137,0)</x:f>
        <x:v>0</x:v>
      </x:c>
      <x:c r="AC137" s="10" t="n">
        <x:f>IFERROR(U137/R137,0)</x:f>
        <x:v>0</x:v>
      </x:c>
      <x:c r="AD137" s="12" t="n">
        <x:f>IFERROR(R137/U137,0)</x:f>
        <x:v>0</x:v>
      </x:c>
      <x:c r="AE137" s="10" t="n">
        <x:f>IFERROR(U137/Q137,0)</x:f>
        <x:v>0</x:v>
      </x:c>
      <x:c r="AF137" s="10" t="n">
        <x:f>IF(Q137=0,M137,IF(U137=0,IF(Q137&gt;=10,MAX(0.02,M137*0.7),M137),IF(AD137=0,M137,MAX(0.02,IF(AD137&gt;Summary!$B$2,M137*Summary!$B$2/AD137,MIN(M137*1.2,M137*Summary!$B$2/AD137))))))</x:f>
        <x:v>0.14</x:v>
      </x:c>
      <x:c r="AG137" s="11" t="n">
        <x:f>IFERROR(AF137/M137-1,0)</x:f>
        <x:v>0</x:v>
      </x:c>
      <x:c r="AH137" t="str">
        <x:f>IF(Q137=0,"Need clicks",IF(AND(U137=0,Q137&gt;=10),"No sales: lower/pause",IF(AND(AD137&gt;Summary!$B$2,T137&gt;0),"Over target: reduce",IF(AND(AD137&lt;=Summary!$B$2,T137&gt;0),"At/under target: scale/hold",IF(AND(Q137&gt;0,T137=0),"Collect data","Review")))))</x:f>
        <x:v>Need clicks</x:v>
      </x:c>
      <x:c r="AI137" s="10" t="n">
        <x:f>IFERROR(IF(U137=0,R137,MAX(0,R137-(U137*Summary!$B$2))),0)</x:f>
        <x:v>0</x:v>
      </x:c>
      <x:c r="AJ137" t="str">
        <x:f>IF(AH137="No sales: lower/pause","Waste",IF(AH137="Over target: reduce","Inefficient",IF(AH137="At/under target: scale/hold","Efficient",IF(AND(O137&gt;=1000,Q137=0),"High imp/no click","Data gathering"))))</x:f>
        <x:v>Data gathering</x:v>
      </x:c>
    </x:row>
    <x:row r="138">
      <x:c r="A138" t="s">
        <x:v>22</x:v>
      </x:c>
      <x:c r="B138" t="s">
        <x:v>173</x:v>
      </x:c>
      <x:c r="C138" t="s">
        <x:v>22</x:v>
      </x:c>
      <x:c r="D138" t="s">
        <x:v>24</x:v>
      </x:c>
      <x:c r="E138" t="s">
        <x:v>63</x:v>
      </x:c>
      <x:c r="F138" t="s">
        <x:v>26</x:v>
      </x:c>
      <x:c r="G138" t="s">
        <x:v>27</x:v>
      </x:c>
      <x:c r="H138" t="s">
        <x:v>208</x:v>
      </x:c>
      <x:c r="I138">
        <x:v>1</x:v>
      </x:c>
      <x:c r="L138">
        <x:v>0</x:v>
      </x:c>
      <x:c r="M138">
        <x:v>7.14</x:v>
      </x:c>
      <x:c r="N138">
        <x:v>7.14</x:v>
      </x:c>
      <x:c r="O138">
        <x:v>182</x:v>
      </x:c>
      <x:c r="P138" s="1" t="s">
        <x:v>209</x:v>
      </x:c>
      <x:c r="Q138">
        <x:v>0</x:v>
      </x:c>
      <x:c r="R138" s="10">
        <x:v>0</x:v>
      </x:c>
      <x:c r="S138">
        <x:v>0</x:v>
      </x:c>
      <x:c r="T138">
        <x:v>0</x:v>
      </x:c>
      <x:c r="U138" s="10">
        <x:v>0</x:v>
      </x:c>
      <x:c r="W138" s="11" t="n">
        <x:f>Summary!$B$2</x:f>
        <x:v>0.15</x:v>
      </x:c>
      <x:c r="X138" s="11" t="n">
        <x:f>IFERROR(AD138-Summary!$B$2,"")</x:f>
        <x:v>-0.15</x:v>
      </x:c>
      <x:c r="Y138" s="10" t="str">
        <x:f>IFERROR((U138/Q138)*Summary!$B$2,"")</x:f>
      </x:c>
      <x:c r="Z138" s="12" t="n">
        <x:f>IFERROR(Q138/O138,0)</x:f>
        <x:v>0</x:v>
      </x:c>
      <x:c r="AA138" s="12" t="n">
        <x:f>IFERROR(T138/Q138,0)</x:f>
        <x:v>0</x:v>
      </x:c>
      <x:c r="AB138" s="10" t="n">
        <x:f>IFERROR(R138/Q138,0)</x:f>
        <x:v>0</x:v>
      </x:c>
      <x:c r="AC138" s="10" t="n">
        <x:f>IFERROR(U138/R138,0)</x:f>
        <x:v>0</x:v>
      </x:c>
      <x:c r="AD138" s="12" t="n">
        <x:f>IFERROR(R138/U138,0)</x:f>
        <x:v>0</x:v>
      </x:c>
      <x:c r="AE138" s="10" t="n">
        <x:f>IFERROR(U138/Q138,0)</x:f>
        <x:v>0</x:v>
      </x:c>
      <x:c r="AF138" s="10" t="n">
        <x:f>IF(Q138=0,M138,IF(U138=0,IF(Q138&gt;=10,MAX(0.02,M138*0.7),M138),IF(AD138=0,M138,MAX(0.02,IF(AD138&gt;Summary!$B$2,M138*Summary!$B$2/AD138,MIN(M138*1.2,M138*Summary!$B$2/AD138))))))</x:f>
        <x:v>7.14</x:v>
      </x:c>
      <x:c r="AG138" s="11" t="n">
        <x:f>IFERROR(AF138/M138-1,0)</x:f>
        <x:v>0</x:v>
      </x:c>
      <x:c r="AH138" t="str">
        <x:f>IF(Q138=0,"Need clicks",IF(AND(U138=0,Q138&gt;=10),"No sales: lower/pause",IF(AND(AD138&gt;Summary!$B$2,T138&gt;0),"Over target: reduce",IF(AND(AD138&lt;=Summary!$B$2,T138&gt;0),"At/under target: scale/hold",IF(AND(Q138&gt;0,T138=0),"Collect data","Review")))))</x:f>
        <x:v>Need clicks</x:v>
      </x:c>
      <x:c r="AI138" s="10" t="n">
        <x:f>IFERROR(IF(U138=0,R138,MAX(0,R138-(U138*Summary!$B$2))),0)</x:f>
        <x:v>0</x:v>
      </x:c>
      <x:c r="AJ138" t="str">
        <x:f>IF(AH138="No sales: lower/pause","Waste",IF(AH138="Over target: reduce","Inefficient",IF(AH138="At/under target: scale/hold","Efficient",IF(AND(O138&gt;=1000,Q138=0),"High imp/no click","Data gathering"))))</x:f>
        <x:v>Data gathering</x:v>
      </x:c>
    </x:row>
    <x:row r="139">
      <x:c r="A139" t="s">
        <x:v>22</x:v>
      </x:c>
      <x:c r="B139" t="s">
        <x:v>210</x:v>
      </x:c>
      <x:c r="C139" t="s">
        <x:v>22</x:v>
      </x:c>
      <x:c r="D139" t="s">
        <x:v>24</x:v>
      </x:c>
      <x:c r="E139" t="s">
        <x:v>63</x:v>
      </x:c>
      <x:c r="F139" t="s">
        <x:v>26</x:v>
      </x:c>
      <x:c r="G139" t="s">
        <x:v>27</x:v>
      </x:c>
      <x:c r="H139" t="s">
        <x:v>208</x:v>
      </x:c>
      <x:c r="I139">
        <x:v>1</x:v>
      </x:c>
      <x:c r="L139">
        <x:v>0</x:v>
      </x:c>
      <x:c r="M139">
        <x:v>2.56</x:v>
      </x:c>
      <x:c r="N139">
        <x:v>5.49</x:v>
      </x:c>
      <x:c r="O139">
        <x:v>56</x:v>
      </x:c>
      <x:c r="P139" s="1" t="s">
        <x:v>211</x:v>
      </x:c>
      <x:c r="Q139">
        <x:v>0</x:v>
      </x:c>
      <x:c r="R139" s="10">
        <x:v>0</x:v>
      </x:c>
      <x:c r="S139">
        <x:v>0</x:v>
      </x:c>
      <x:c r="T139">
        <x:v>0</x:v>
      </x:c>
      <x:c r="U139" s="10">
        <x:v>0</x:v>
      </x:c>
      <x:c r="W139" s="11" t="n">
        <x:f>Summary!$B$2</x:f>
        <x:v>0.15</x:v>
      </x:c>
      <x:c r="X139" s="11" t="n">
        <x:f>IFERROR(AD139-Summary!$B$2,"")</x:f>
        <x:v>-0.15</x:v>
      </x:c>
      <x:c r="Y139" s="10" t="str">
        <x:f>IFERROR((U139/Q139)*Summary!$B$2,"")</x:f>
      </x:c>
      <x:c r="Z139" s="12" t="n">
        <x:f>IFERROR(Q139/O139,0)</x:f>
        <x:v>0</x:v>
      </x:c>
      <x:c r="AA139" s="12" t="n">
        <x:f>IFERROR(T139/Q139,0)</x:f>
        <x:v>0</x:v>
      </x:c>
      <x:c r="AB139" s="10" t="n">
        <x:f>IFERROR(R139/Q139,0)</x:f>
        <x:v>0</x:v>
      </x:c>
      <x:c r="AC139" s="10" t="n">
        <x:f>IFERROR(U139/R139,0)</x:f>
        <x:v>0</x:v>
      </x:c>
      <x:c r="AD139" s="12" t="n">
        <x:f>IFERROR(R139/U139,0)</x:f>
        <x:v>0</x:v>
      </x:c>
      <x:c r="AE139" s="10" t="n">
        <x:f>IFERROR(U139/Q139,0)</x:f>
        <x:v>0</x:v>
      </x:c>
      <x:c r="AF139" s="10" t="n">
        <x:f>IF(Q139=0,M139,IF(U139=0,IF(Q139&gt;=10,MAX(0.02,M139*0.7),M139),IF(AD139=0,M139,MAX(0.02,IF(AD139&gt;Summary!$B$2,M139*Summary!$B$2/AD139,MIN(M139*1.2,M139*Summary!$B$2/AD139))))))</x:f>
        <x:v>2.56</x:v>
      </x:c>
      <x:c r="AG139" s="11" t="n">
        <x:f>IFERROR(AF139/M139-1,0)</x:f>
        <x:v>0</x:v>
      </x:c>
      <x:c r="AH139" t="str">
        <x:f>IF(Q139=0,"Need clicks",IF(AND(U139=0,Q139&gt;=10),"No sales: lower/pause",IF(AND(AD139&gt;Summary!$B$2,T139&gt;0),"Over target: reduce",IF(AND(AD139&lt;=Summary!$B$2,T139&gt;0),"At/under target: scale/hold",IF(AND(Q139&gt;0,T139=0),"Collect data","Review")))))</x:f>
        <x:v>Need clicks</x:v>
      </x:c>
      <x:c r="AI139" s="10" t="n">
        <x:f>IFERROR(IF(U139=0,R139,MAX(0,R139-(U139*Summary!$B$2))),0)</x:f>
        <x:v>0</x:v>
      </x:c>
      <x:c r="AJ139" t="str">
        <x:f>IF(AH139="No sales: lower/pause","Waste",IF(AH139="Over target: reduce","Inefficient",IF(AH139="At/under target: scale/hold","Efficient",IF(AND(O139&gt;=1000,Q139=0),"High imp/no click","Data gathering"))))</x:f>
        <x:v>Data gathering</x:v>
      </x:c>
    </x:row>
    <x:row r="140">
      <x:c r="A140" t="s">
        <x:v>22</x:v>
      </x:c>
      <x:c r="B140" t="s">
        <x:v>212</x:v>
      </x:c>
      <x:c r="C140" t="s">
        <x:v>22</x:v>
      </x:c>
      <x:c r="D140" t="s">
        <x:v>24</x:v>
      </x:c>
      <x:c r="E140" t="s">
        <x:v>63</x:v>
      </x:c>
      <x:c r="F140" t="s">
        <x:v>26</x:v>
      </x:c>
      <x:c r="G140" t="s">
        <x:v>27</x:v>
      </x:c>
      <x:c r="H140" t="s">
        <x:v>82</x:v>
      </x:c>
      <x:c r="I140">
        <x:v>1</x:v>
      </x:c>
      <x:c r="L140">
        <x:v>0</x:v>
      </x:c>
      <x:c r="M140">
        <x:v>0.03</x:v>
      </x:c>
      <x:c r="N140">
        <x:v>4.1100000000000003</x:v>
      </x:c>
      <x:c r="O140">
        <x:v>2</x:v>
      </x:c>
      <x:c r="P140">
        <x:v>0</x:v>
      </x:c>
      <x:c r="Q140">
        <x:v>0</x:v>
      </x:c>
      <x:c r="R140" s="10">
        <x:v>0</x:v>
      </x:c>
      <x:c r="S140">
        <x:v>0</x:v>
      </x:c>
      <x:c r="T140">
        <x:v>0</x:v>
      </x:c>
      <x:c r="U140" s="10">
        <x:v>0</x:v>
      </x:c>
      <x:c r="W140" s="11" t="n">
        <x:f>Summary!$B$2</x:f>
        <x:v>0.15</x:v>
      </x:c>
      <x:c r="X140" s="11" t="n">
        <x:f>IFERROR(AD140-Summary!$B$2,"")</x:f>
        <x:v>-0.15</x:v>
      </x:c>
      <x:c r="Y140" s="10" t="str">
        <x:f>IFERROR((U140/Q140)*Summary!$B$2,"")</x:f>
      </x:c>
      <x:c r="Z140" s="12" t="n">
        <x:f>IFERROR(Q140/O140,0)</x:f>
        <x:v>0</x:v>
      </x:c>
      <x:c r="AA140" s="12" t="n">
        <x:f>IFERROR(T140/Q140,0)</x:f>
        <x:v>0</x:v>
      </x:c>
      <x:c r="AB140" s="10" t="n">
        <x:f>IFERROR(R140/Q140,0)</x:f>
        <x:v>0</x:v>
      </x:c>
      <x:c r="AC140" s="10" t="n">
        <x:f>IFERROR(U140/R140,0)</x:f>
        <x:v>0</x:v>
      </x:c>
      <x:c r="AD140" s="12" t="n">
        <x:f>IFERROR(R140/U140,0)</x:f>
        <x:v>0</x:v>
      </x:c>
      <x:c r="AE140" s="10" t="n">
        <x:f>IFERROR(U140/Q140,0)</x:f>
        <x:v>0</x:v>
      </x:c>
      <x:c r="AF140" s="10" t="n">
        <x:f>IF(Q140=0,M140,IF(U140=0,IF(Q140&gt;=10,MAX(0.02,M140*0.7),M140),IF(AD140=0,M140,MAX(0.02,IF(AD140&gt;Summary!$B$2,M140*Summary!$B$2/AD140,MIN(M140*1.2,M140*Summary!$B$2/AD140))))))</x:f>
        <x:v>0.03</x:v>
      </x:c>
      <x:c r="AG140" s="11" t="n">
        <x:f>IFERROR(AF140/M140-1,0)</x:f>
        <x:v>0</x:v>
      </x:c>
      <x:c r="AH140" t="str">
        <x:f>IF(Q140=0,"Need clicks",IF(AND(U140=0,Q140&gt;=10),"No sales: lower/pause",IF(AND(AD140&gt;Summary!$B$2,T140&gt;0),"Over target: reduce",IF(AND(AD140&lt;=Summary!$B$2,T140&gt;0),"At/under target: scale/hold",IF(AND(Q140&gt;0,T140=0),"Collect data","Review")))))</x:f>
        <x:v>Need clicks</x:v>
      </x:c>
      <x:c r="AI140" s="10" t="n">
        <x:f>IFERROR(IF(U140=0,R140,MAX(0,R140-(U140*Summary!$B$2))),0)</x:f>
        <x:v>0</x:v>
      </x:c>
      <x:c r="AJ140" t="str">
        <x:f>IF(AH140="No sales: lower/pause","Waste",IF(AH140="Over target: reduce","Inefficient",IF(AH140="At/under target: scale/hold","Efficient",IF(AND(O140&gt;=1000,Q140=0),"High imp/no click","Data gathering"))))</x:f>
        <x:v>Data gathering</x:v>
      </x:c>
    </x:row>
    <x:row r="141">
      <x:c r="A141" t="s">
        <x:v>22</x:v>
      </x:c>
      <x:c r="B141" t="s">
        <x:v>213</x:v>
      </x:c>
      <x:c r="C141" t="s">
        <x:v>22</x:v>
      </x:c>
      <x:c r="D141" t="s">
        <x:v>24</x:v>
      </x:c>
      <x:c r="E141" t="s">
        <x:v>63</x:v>
      </x:c>
      <x:c r="F141" t="s">
        <x:v>26</x:v>
      </x:c>
      <x:c r="G141" t="s">
        <x:v>27</x:v>
      </x:c>
      <x:c r="H141" t="s">
        <x:v>82</x:v>
      </x:c>
      <x:c r="I141">
        <x:v>1</x:v>
      </x:c>
      <x:c r="L141">
        <x:v>0</x:v>
      </x:c>
      <x:c r="M141">
        <x:v>0.88</x:v>
      </x:c>
      <x:c r="N141">
        <x:v>5.01</x:v>
      </x:c>
      <x:c r="O141">
        <x:v>158</x:v>
      </x:c>
      <x:c r="P141">
        <x:v>7.5705958058899202E-3</x:v>
      </x:c>
      <x:c r="Q141">
        <x:v>0</x:v>
      </x:c>
      <x:c r="R141" s="10">
        <x:v>0</x:v>
      </x:c>
      <x:c r="S141">
        <x:v>0</x:v>
      </x:c>
      <x:c r="T141">
        <x:v>0</x:v>
      </x:c>
      <x:c r="U141" s="10">
        <x:v>0</x:v>
      </x:c>
      <x:c r="W141" s="11" t="n">
        <x:f>Summary!$B$2</x:f>
        <x:v>0.15</x:v>
      </x:c>
      <x:c r="X141" s="11" t="n">
        <x:f>IFERROR(AD141-Summary!$B$2,"")</x:f>
        <x:v>-0.15</x:v>
      </x:c>
      <x:c r="Y141" s="10" t="str">
        <x:f>IFERROR((U141/Q141)*Summary!$B$2,"")</x:f>
      </x:c>
      <x:c r="Z141" s="12" t="n">
        <x:f>IFERROR(Q141/O141,0)</x:f>
        <x:v>0</x:v>
      </x:c>
      <x:c r="AA141" s="12" t="n">
        <x:f>IFERROR(T141/Q141,0)</x:f>
        <x:v>0</x:v>
      </x:c>
      <x:c r="AB141" s="10" t="n">
        <x:f>IFERROR(R141/Q141,0)</x:f>
        <x:v>0</x:v>
      </x:c>
      <x:c r="AC141" s="10" t="n">
        <x:f>IFERROR(U141/R141,0)</x:f>
        <x:v>0</x:v>
      </x:c>
      <x:c r="AD141" s="12" t="n">
        <x:f>IFERROR(R141/U141,0)</x:f>
        <x:v>0</x:v>
      </x:c>
      <x:c r="AE141" s="10" t="n">
        <x:f>IFERROR(U141/Q141,0)</x:f>
        <x:v>0</x:v>
      </x:c>
      <x:c r="AF141" s="10" t="n">
        <x:f>IF(Q141=0,M141,IF(U141=0,IF(Q141&gt;=10,MAX(0.02,M141*0.7),M141),IF(AD141=0,M141,MAX(0.02,IF(AD141&gt;Summary!$B$2,M141*Summary!$B$2/AD141,MIN(M141*1.2,M141*Summary!$B$2/AD141))))))</x:f>
        <x:v>0.88</x:v>
      </x:c>
      <x:c r="AG141" s="11" t="n">
        <x:f>IFERROR(AF141/M141-1,0)</x:f>
        <x:v>0</x:v>
      </x:c>
      <x:c r="AH141" t="str">
        <x:f>IF(Q141=0,"Need clicks",IF(AND(U141=0,Q141&gt;=10),"No sales: lower/pause",IF(AND(AD141&gt;Summary!$B$2,T141&gt;0),"Over target: reduce",IF(AND(AD141&lt;=Summary!$B$2,T141&gt;0),"At/under target: scale/hold",IF(AND(Q141&gt;0,T141=0),"Collect data","Review")))))</x:f>
        <x:v>Need clicks</x:v>
      </x:c>
      <x:c r="AI141" s="10" t="n">
        <x:f>IFERROR(IF(U141=0,R141,MAX(0,R141-(U141*Summary!$B$2))),0)</x:f>
        <x:v>0</x:v>
      </x:c>
      <x:c r="AJ141" t="str">
        <x:f>IF(AH141="No sales: lower/pause","Waste",IF(AH141="Over target: reduce","Inefficient",IF(AH141="At/under target: scale/hold","Efficient",IF(AND(O141&gt;=1000,Q141=0),"High imp/no click","Data gathering"))))</x:f>
        <x:v>Data gathering</x:v>
      </x:c>
    </x:row>
    <x:row r="142">
      <x:c r="A142" t="s">
        <x:v>22</x:v>
      </x:c>
      <x:c r="B142" t="s">
        <x:v>214</x:v>
      </x:c>
      <x:c r="C142" t="s">
        <x:v>22</x:v>
      </x:c>
      <x:c r="D142" t="s">
        <x:v>24</x:v>
      </x:c>
      <x:c r="E142" t="s">
        <x:v>63</x:v>
      </x:c>
      <x:c r="F142" t="s">
        <x:v>26</x:v>
      </x:c>
      <x:c r="G142" t="s">
        <x:v>27</x:v>
      </x:c>
      <x:c r="H142" t="s">
        <x:v>82</x:v>
      </x:c>
      <x:c r="I142">
        <x:v>1</x:v>
      </x:c>
      <x:c r="L142">
        <x:v>0</x:v>
      </x:c>
      <x:c r="M142">
        <x:v>0.04</x:v>
      </x:c>
      <x:c r="N142">
        <x:v>7.14</x:v>
      </x:c>
      <x:c r="O142">
        <x:v>5</x:v>
      </x:c>
      <x:c r="P142">
        <x:v>0</x:v>
      </x:c>
      <x:c r="Q142">
        <x:v>0</x:v>
      </x:c>
      <x:c r="R142" s="10">
        <x:v>0</x:v>
      </x:c>
      <x:c r="S142">
        <x:v>0</x:v>
      </x:c>
      <x:c r="T142">
        <x:v>0</x:v>
      </x:c>
      <x:c r="U142" s="10">
        <x:v>0</x:v>
      </x:c>
      <x:c r="W142" s="11" t="n">
        <x:f>Summary!$B$2</x:f>
        <x:v>0.15</x:v>
      </x:c>
      <x:c r="X142" s="11" t="n">
        <x:f>IFERROR(AD142-Summary!$B$2,"")</x:f>
        <x:v>-0.15</x:v>
      </x:c>
      <x:c r="Y142" s="10" t="str">
        <x:f>IFERROR((U142/Q142)*Summary!$B$2,"")</x:f>
      </x:c>
      <x:c r="Z142" s="12" t="n">
        <x:f>IFERROR(Q142/O142,0)</x:f>
        <x:v>0</x:v>
      </x:c>
      <x:c r="AA142" s="12" t="n">
        <x:f>IFERROR(T142/Q142,0)</x:f>
        <x:v>0</x:v>
      </x:c>
      <x:c r="AB142" s="10" t="n">
        <x:f>IFERROR(R142/Q142,0)</x:f>
        <x:v>0</x:v>
      </x:c>
      <x:c r="AC142" s="10" t="n">
        <x:f>IFERROR(U142/R142,0)</x:f>
        <x:v>0</x:v>
      </x:c>
      <x:c r="AD142" s="12" t="n">
        <x:f>IFERROR(R142/U142,0)</x:f>
        <x:v>0</x:v>
      </x:c>
      <x:c r="AE142" s="10" t="n">
        <x:f>IFERROR(U142/Q142,0)</x:f>
        <x:v>0</x:v>
      </x:c>
      <x:c r="AF142" s="10" t="n">
        <x:f>IF(Q142=0,M142,IF(U142=0,IF(Q142&gt;=10,MAX(0.02,M142*0.7),M142),IF(AD142=0,M142,MAX(0.02,IF(AD142&gt;Summary!$B$2,M142*Summary!$B$2/AD142,MIN(M142*1.2,M142*Summary!$B$2/AD142))))))</x:f>
        <x:v>0.04</x:v>
      </x:c>
      <x:c r="AG142" s="11" t="n">
        <x:f>IFERROR(AF142/M142-1,0)</x:f>
        <x:v>0</x:v>
      </x:c>
      <x:c r="AH142" t="str">
        <x:f>IF(Q142=0,"Need clicks",IF(AND(U142=0,Q142&gt;=10),"No sales: lower/pause",IF(AND(AD142&gt;Summary!$B$2,T142&gt;0),"Over target: reduce",IF(AND(AD142&lt;=Summary!$B$2,T142&gt;0),"At/under target: scale/hold",IF(AND(Q142&gt;0,T142=0),"Collect data","Review")))))</x:f>
        <x:v>Need clicks</x:v>
      </x:c>
      <x:c r="AI142" s="10" t="n">
        <x:f>IFERROR(IF(U142=0,R142,MAX(0,R142-(U142*Summary!$B$2))),0)</x:f>
        <x:v>0</x:v>
      </x:c>
      <x:c r="AJ142" t="str">
        <x:f>IF(AH142="No sales: lower/pause","Waste",IF(AH142="Over target: reduce","Inefficient",IF(AH142="At/under target: scale/hold","Efficient",IF(AND(O142&gt;=1000,Q142=0),"High imp/no click","Data gathering"))))</x:f>
        <x:v>Data gathering</x:v>
      </x:c>
    </x:row>
    <x:row r="143">
      <x:c r="A143" t="s">
        <x:v>22</x:v>
      </x:c>
      <x:c r="B143" t="s">
        <x:v>215</x:v>
      </x:c>
      <x:c r="C143" t="s">
        <x:v>22</x:v>
      </x:c>
      <x:c r="D143" t="s">
        <x:v>24</x:v>
      </x:c>
      <x:c r="E143" t="s">
        <x:v>63</x:v>
      </x:c>
      <x:c r="F143" t="s">
        <x:v>26</x:v>
      </x:c>
      <x:c r="G143" t="s">
        <x:v>27</x:v>
      </x:c>
      <x:c r="H143" t="s">
        <x:v>82</x:v>
      </x:c>
      <x:c r="I143">
        <x:v>1</x:v>
      </x:c>
      <x:c r="L143">
        <x:v>0</x:v>
      </x:c>
      <x:c r="M143">
        <x:v>0.04</x:v>
      </x:c>
      <x:c r="N143">
        <x:v>3.41</x:v>
      </x:c>
      <x:c r="O143">
        <x:v>7</x:v>
      </x:c>
      <x:c r="P143">
        <x:v>0</x:v>
      </x:c>
      <x:c r="Q143">
        <x:v>0</x:v>
      </x:c>
      <x:c r="R143" s="10">
        <x:v>0</x:v>
      </x:c>
      <x:c r="S143">
        <x:v>0</x:v>
      </x:c>
      <x:c r="T143">
        <x:v>0</x:v>
      </x:c>
      <x:c r="U143" s="10">
        <x:v>0</x:v>
      </x:c>
      <x:c r="W143" s="11" t="n">
        <x:f>Summary!$B$2</x:f>
        <x:v>0.15</x:v>
      </x:c>
      <x:c r="X143" s="11" t="n">
        <x:f>IFERROR(AD143-Summary!$B$2,"")</x:f>
        <x:v>-0.15</x:v>
      </x:c>
      <x:c r="Y143" s="10" t="str">
        <x:f>IFERROR((U143/Q143)*Summary!$B$2,"")</x:f>
      </x:c>
      <x:c r="Z143" s="12" t="n">
        <x:f>IFERROR(Q143/O143,0)</x:f>
        <x:v>0</x:v>
      </x:c>
      <x:c r="AA143" s="12" t="n">
        <x:f>IFERROR(T143/Q143,0)</x:f>
        <x:v>0</x:v>
      </x:c>
      <x:c r="AB143" s="10" t="n">
        <x:f>IFERROR(R143/Q143,0)</x:f>
        <x:v>0</x:v>
      </x:c>
      <x:c r="AC143" s="10" t="n">
        <x:f>IFERROR(U143/R143,0)</x:f>
        <x:v>0</x:v>
      </x:c>
      <x:c r="AD143" s="12" t="n">
        <x:f>IFERROR(R143/U143,0)</x:f>
        <x:v>0</x:v>
      </x:c>
      <x:c r="AE143" s="10" t="n">
        <x:f>IFERROR(U143/Q143,0)</x:f>
        <x:v>0</x:v>
      </x:c>
      <x:c r="AF143" s="10" t="n">
        <x:f>IF(Q143=0,M143,IF(U143=0,IF(Q143&gt;=10,MAX(0.02,M143*0.7),M143),IF(AD143=0,M143,MAX(0.02,IF(AD143&gt;Summary!$B$2,M143*Summary!$B$2/AD143,MIN(M143*1.2,M143*Summary!$B$2/AD143))))))</x:f>
        <x:v>0.04</x:v>
      </x:c>
      <x:c r="AG143" s="11" t="n">
        <x:f>IFERROR(AF143/M143-1,0)</x:f>
        <x:v>0</x:v>
      </x:c>
      <x:c r="AH143" t="str">
        <x:f>IF(Q143=0,"Need clicks",IF(AND(U143=0,Q143&gt;=10),"No sales: lower/pause",IF(AND(AD143&gt;Summary!$B$2,T143&gt;0),"Over target: reduce",IF(AND(AD143&lt;=Summary!$B$2,T143&gt;0),"At/under target: scale/hold",IF(AND(Q143&gt;0,T143=0),"Collect data","Review")))))</x:f>
        <x:v>Need clicks</x:v>
      </x:c>
      <x:c r="AI143" s="10" t="n">
        <x:f>IFERROR(IF(U143=0,R143,MAX(0,R143-(U143*Summary!$B$2))),0)</x:f>
        <x:v>0</x:v>
      </x:c>
      <x:c r="AJ143" t="str">
        <x:f>IF(AH143="No sales: lower/pause","Waste",IF(AH143="Over target: reduce","Inefficient",IF(AH143="At/under target: scale/hold","Efficient",IF(AND(O143&gt;=1000,Q143=0),"High imp/no click","Data gathering"))))</x:f>
        <x:v>Data gathering</x:v>
      </x:c>
    </x:row>
    <x:row r="144">
      <x:c r="A144" t="s">
        <x:v>22</x:v>
      </x:c>
      <x:c r="B144" t="s">
        <x:v>108</x:v>
      </x:c>
      <x:c r="C144" t="s">
        <x:v>22</x:v>
      </x:c>
      <x:c r="D144" t="s">
        <x:v>24</x:v>
      </x:c>
      <x:c r="E144" t="s">
        <x:v>63</x:v>
      </x:c>
      <x:c r="F144" t="s">
        <x:v>26</x:v>
      </x:c>
      <x:c r="G144" t="s">
        <x:v>27</x:v>
      </x:c>
      <x:c r="H144" t="s">
        <x:v>82</x:v>
      </x:c>
      <x:c r="I144">
        <x:v>1</x:v>
      </x:c>
      <x:c r="L144">
        <x:v>0</x:v>
      </x:c>
      <x:c r="M144">
        <x:v>0.03</x:v>
      </x:c>
      <x:c r="N144">
        <x:v>7.14</x:v>
      </x:c>
      <x:c r="O144">
        <x:v>1</x:v>
      </x:c>
      <x:c r="P144">
        <x:v>0</x:v>
      </x:c>
      <x:c r="Q144">
        <x:v>0</x:v>
      </x:c>
      <x:c r="R144" s="10">
        <x:v>0</x:v>
      </x:c>
      <x:c r="S144">
        <x:v>0</x:v>
      </x:c>
      <x:c r="T144">
        <x:v>0</x:v>
      </x:c>
      <x:c r="U144" s="10">
        <x:v>0</x:v>
      </x:c>
      <x:c r="W144" s="11" t="n">
        <x:f>Summary!$B$2</x:f>
        <x:v>0.15</x:v>
      </x:c>
      <x:c r="X144" s="11" t="n">
        <x:f>IFERROR(AD144-Summary!$B$2,"")</x:f>
        <x:v>-0.15</x:v>
      </x:c>
      <x:c r="Y144" s="10" t="str">
        <x:f>IFERROR((U144/Q144)*Summary!$B$2,"")</x:f>
      </x:c>
      <x:c r="Z144" s="12" t="n">
        <x:f>IFERROR(Q144/O144,0)</x:f>
        <x:v>0</x:v>
      </x:c>
      <x:c r="AA144" s="12" t="n">
        <x:f>IFERROR(T144/Q144,0)</x:f>
        <x:v>0</x:v>
      </x:c>
      <x:c r="AB144" s="10" t="n">
        <x:f>IFERROR(R144/Q144,0)</x:f>
        <x:v>0</x:v>
      </x:c>
      <x:c r="AC144" s="10" t="n">
        <x:f>IFERROR(U144/R144,0)</x:f>
        <x:v>0</x:v>
      </x:c>
      <x:c r="AD144" s="12" t="n">
        <x:f>IFERROR(R144/U144,0)</x:f>
        <x:v>0</x:v>
      </x:c>
      <x:c r="AE144" s="10" t="n">
        <x:f>IFERROR(U144/Q144,0)</x:f>
        <x:v>0</x:v>
      </x:c>
      <x:c r="AF144" s="10" t="n">
        <x:f>IF(Q144=0,M144,IF(U144=0,IF(Q144&gt;=10,MAX(0.02,M144*0.7),M144),IF(AD144=0,M144,MAX(0.02,IF(AD144&gt;Summary!$B$2,M144*Summary!$B$2/AD144,MIN(M144*1.2,M144*Summary!$B$2/AD144))))))</x:f>
        <x:v>0.03</x:v>
      </x:c>
      <x:c r="AG144" s="11" t="n">
        <x:f>IFERROR(AF144/M144-1,0)</x:f>
        <x:v>0</x:v>
      </x:c>
      <x:c r="AH144" t="str">
        <x:f>IF(Q144=0,"Need clicks",IF(AND(U144=0,Q144&gt;=10),"No sales: lower/pause",IF(AND(AD144&gt;Summary!$B$2,T144&gt;0),"Over target: reduce",IF(AND(AD144&lt;=Summary!$B$2,T144&gt;0),"At/under target: scale/hold",IF(AND(Q144&gt;0,T144=0),"Collect data","Review")))))</x:f>
        <x:v>Need clicks</x:v>
      </x:c>
      <x:c r="AI144" s="10" t="n">
        <x:f>IFERROR(IF(U144=0,R144,MAX(0,R144-(U144*Summary!$B$2))),0)</x:f>
        <x:v>0</x:v>
      </x:c>
      <x:c r="AJ144" t="str">
        <x:f>IF(AH144="No sales: lower/pause","Waste",IF(AH144="Over target: reduce","Inefficient",IF(AH144="At/under target: scale/hold","Efficient",IF(AND(O144&gt;=1000,Q144=0),"High imp/no click","Data gathering"))))</x:f>
        <x:v>Data gathering</x:v>
      </x:c>
    </x:row>
    <x:row r="145">
      <x:c r="A145" t="s">
        <x:v>22</x:v>
      </x:c>
      <x:c r="B145" t="s">
        <x:v>216</x:v>
      </x:c>
      <x:c r="C145" t="s">
        <x:v>22</x:v>
      </x:c>
      <x:c r="D145" t="s">
        <x:v>24</x:v>
      </x:c>
      <x:c r="E145" t="s">
        <x:v>63</x:v>
      </x:c>
      <x:c r="F145" t="s">
        <x:v>26</x:v>
      </x:c>
      <x:c r="G145" t="s">
        <x:v>27</x:v>
      </x:c>
      <x:c r="H145" t="s">
        <x:v>82</x:v>
      </x:c>
      <x:c r="I145">
        <x:v>1</x:v>
      </x:c>
      <x:c r="L145">
        <x:v>0</x:v>
      </x:c>
      <x:c r="M145">
        <x:v>0.06</x:v>
      </x:c>
      <x:c r="N145">
        <x:v>2.48</x:v>
      </x:c>
      <x:c r="O145">
        <x:v>14</x:v>
      </x:c>
      <x:c r="P145">
        <x:v>0</x:v>
      </x:c>
      <x:c r="Q145">
        <x:v>0</x:v>
      </x:c>
      <x:c r="R145" s="10">
        <x:v>0</x:v>
      </x:c>
      <x:c r="S145">
        <x:v>0</x:v>
      </x:c>
      <x:c r="T145">
        <x:v>0</x:v>
      </x:c>
      <x:c r="U145" s="10">
        <x:v>0</x:v>
      </x:c>
      <x:c r="W145" s="11" t="n">
        <x:f>Summary!$B$2</x:f>
        <x:v>0.15</x:v>
      </x:c>
      <x:c r="X145" s="11" t="n">
        <x:f>IFERROR(AD145-Summary!$B$2,"")</x:f>
        <x:v>-0.15</x:v>
      </x:c>
      <x:c r="Y145" s="10" t="str">
        <x:f>IFERROR((U145/Q145)*Summary!$B$2,"")</x:f>
      </x:c>
      <x:c r="Z145" s="12" t="n">
        <x:f>IFERROR(Q145/O145,0)</x:f>
        <x:v>0</x:v>
      </x:c>
      <x:c r="AA145" s="12" t="n">
        <x:f>IFERROR(T145/Q145,0)</x:f>
        <x:v>0</x:v>
      </x:c>
      <x:c r="AB145" s="10" t="n">
        <x:f>IFERROR(R145/Q145,0)</x:f>
        <x:v>0</x:v>
      </x:c>
      <x:c r="AC145" s="10" t="n">
        <x:f>IFERROR(U145/R145,0)</x:f>
        <x:v>0</x:v>
      </x:c>
      <x:c r="AD145" s="12" t="n">
        <x:f>IFERROR(R145/U145,0)</x:f>
        <x:v>0</x:v>
      </x:c>
      <x:c r="AE145" s="10" t="n">
        <x:f>IFERROR(U145/Q145,0)</x:f>
        <x:v>0</x:v>
      </x:c>
      <x:c r="AF145" s="10" t="n">
        <x:f>IF(Q145=0,M145,IF(U145=0,IF(Q145&gt;=10,MAX(0.02,M145*0.7),M145),IF(AD145=0,M145,MAX(0.02,IF(AD145&gt;Summary!$B$2,M145*Summary!$B$2/AD145,MIN(M145*1.2,M145*Summary!$B$2/AD145))))))</x:f>
        <x:v>0.06</x:v>
      </x:c>
      <x:c r="AG145" s="11" t="n">
        <x:f>IFERROR(AF145/M145-1,0)</x:f>
        <x:v>0</x:v>
      </x:c>
      <x:c r="AH145" t="str">
        <x:f>IF(Q145=0,"Need clicks",IF(AND(U145=0,Q145&gt;=10),"No sales: lower/pause",IF(AND(AD145&gt;Summary!$B$2,T145&gt;0),"Over target: reduce",IF(AND(AD145&lt;=Summary!$B$2,T145&gt;0),"At/under target: scale/hold",IF(AND(Q145&gt;0,T145=0),"Collect data","Review")))))</x:f>
        <x:v>Need clicks</x:v>
      </x:c>
      <x:c r="AI145" s="10" t="n">
        <x:f>IFERROR(IF(U145=0,R145,MAX(0,R145-(U145*Summary!$B$2))),0)</x:f>
        <x:v>0</x:v>
      </x:c>
      <x:c r="AJ145" t="str">
        <x:f>IF(AH145="No sales: lower/pause","Waste",IF(AH145="Over target: reduce","Inefficient",IF(AH145="At/under target: scale/hold","Efficient",IF(AND(O145&gt;=1000,Q145=0),"High imp/no click","Data gathering"))))</x:f>
        <x:v>Data gathering</x:v>
      </x:c>
    </x:row>
    <x:row r="146">
      <x:c r="A146" t="s">
        <x:v>22</x:v>
      </x:c>
      <x:c r="B146" t="s">
        <x:v>217</x:v>
      </x:c>
      <x:c r="C146" t="s">
        <x:v>22</x:v>
      </x:c>
      <x:c r="D146" t="s">
        <x:v>218</x:v>
      </x:c>
      <x:c r="E146" t="s">
        <x:v>219</x:v>
      </x:c>
      <x:c r="F146" t="s">
        <x:v>26</x:v>
      </x:c>
      <x:c r="G146" t="s">
        <x:v>27</x:v>
      </x:c>
      <x:c r="H146" t="s">
        <x:v>220</x:v>
      </x:c>
      <x:c r="I146">
        <x:v>2</x:v>
      </x:c>
      <x:c r="L146">
        <x:v>0</x:v>
      </x:c>
      <x:c r="M146">
        <x:v>0.59</x:v>
      </x:c>
      <x:c r="N146">
        <x:v>0.48</x:v>
      </x:c>
      <x:c r="O146">
        <x:v>1</x:v>
      </x:c>
      <x:c r="P146">
        <x:v>25</x:v>
      </x:c>
      <x:c r="Q146">
        <x:v>0</x:v>
      </x:c>
      <x:c r="R146" s="10">
        <x:v>0</x:v>
      </x:c>
      <x:c r="S146">
        <x:v>0</x:v>
      </x:c>
      <x:c r="T146">
        <x:v>0</x:v>
      </x:c>
      <x:c r="U146" s="10">
        <x:v>0</x:v>
      </x:c>
      <x:c r="W146" s="11" t="n">
        <x:f>Summary!$B$2</x:f>
        <x:v>0.15</x:v>
      </x:c>
      <x:c r="X146" s="11" t="n">
        <x:f>IFERROR(AD146-Summary!$B$2,"")</x:f>
        <x:v>-0.15</x:v>
      </x:c>
      <x:c r="Y146" s="10" t="str">
        <x:f>IFERROR((U146/Q146)*Summary!$B$2,"")</x:f>
      </x:c>
      <x:c r="Z146" s="12" t="n">
        <x:f>IFERROR(Q146/O146,0)</x:f>
        <x:v>0</x:v>
      </x:c>
      <x:c r="AA146" s="12" t="n">
        <x:f>IFERROR(T146/Q146,0)</x:f>
        <x:v>0</x:v>
      </x:c>
      <x:c r="AB146" s="10" t="n">
        <x:f>IFERROR(R146/Q146,0)</x:f>
        <x:v>0</x:v>
      </x:c>
      <x:c r="AC146" s="10" t="n">
        <x:f>IFERROR(U146/R146,0)</x:f>
        <x:v>0</x:v>
      </x:c>
      <x:c r="AD146" s="12" t="n">
        <x:f>IFERROR(R146/U146,0)</x:f>
        <x:v>0</x:v>
      </x:c>
      <x:c r="AE146" s="10" t="n">
        <x:f>IFERROR(U146/Q146,0)</x:f>
        <x:v>0</x:v>
      </x:c>
      <x:c r="AF146" s="10" t="n">
        <x:f>IF(Q146=0,M146,IF(U146=0,IF(Q146&gt;=10,MAX(0.02,M146*0.7),M146),IF(AD146=0,M146,MAX(0.02,IF(AD146&gt;Summary!$B$2,M146*Summary!$B$2/AD146,MIN(M146*1.2,M146*Summary!$B$2/AD146))))))</x:f>
        <x:v>0.59</x:v>
      </x:c>
      <x:c r="AG146" s="11" t="n">
        <x:f>IFERROR(AF146/M146-1,0)</x:f>
        <x:v>0</x:v>
      </x:c>
      <x:c r="AH146" t="str">
        <x:f>IF(Q146=0,"Need clicks",IF(AND(U146=0,Q146&gt;=10),"No sales: lower/pause",IF(AND(AD146&gt;Summary!$B$2,T146&gt;0),"Over target: reduce",IF(AND(AD146&lt;=Summary!$B$2,T146&gt;0),"At/under target: scale/hold",IF(AND(Q146&gt;0,T146=0),"Collect data","Review")))))</x:f>
        <x:v>Need clicks</x:v>
      </x:c>
      <x:c r="AI146" s="10" t="n">
        <x:f>IFERROR(IF(U146=0,R146,MAX(0,R146-(U146*Summary!$B$2))),0)</x:f>
        <x:v>0</x:v>
      </x:c>
      <x:c r="AJ146" t="str">
        <x:f>IF(AH146="No sales: lower/pause","Waste",IF(AH146="Over target: reduce","Inefficient",IF(AH146="At/under target: scale/hold","Efficient",IF(AND(O146&gt;=1000,Q146=0),"High imp/no click","Data gathering"))))</x:f>
        <x:v>Data gathering</x:v>
      </x:c>
    </x:row>
    <x:row r="147">
      <x:c r="A147" t="s">
        <x:v>22</x:v>
      </x:c>
      <x:c r="B147" t="s">
        <x:v>111</x:v>
      </x:c>
      <x:c r="C147" t="s">
        <x:v>22</x:v>
      </x:c>
      <x:c r="D147" t="s">
        <x:v>218</x:v>
      </x:c>
      <x:c r="E147" t="s">
        <x:v>219</x:v>
      </x:c>
      <x:c r="F147" t="s">
        <x:v>26</x:v>
      </x:c>
      <x:c r="G147" t="s">
        <x:v>27</x:v>
      </x:c>
      <x:c r="H147" t="s">
        <x:v>220</x:v>
      </x:c>
      <x:c r="I147">
        <x:v>2</x:v>
      </x:c>
      <x:c r="L147">
        <x:v>0</x:v>
      </x:c>
      <x:c r="M147">
        <x:v>1.0900000000000001</x:v>
      </x:c>
      <x:c r="N147">
        <x:v>1.42</x:v>
      </x:c>
      <x:c r="O147">
        <x:v>25</x:v>
      </x:c>
      <x:c r="P147">
        <x:v>0</x:v>
      </x:c>
      <x:c r="Q147">
        <x:v>0</x:v>
      </x:c>
      <x:c r="R147" s="10">
        <x:v>0</x:v>
      </x:c>
      <x:c r="S147">
        <x:v>0</x:v>
      </x:c>
      <x:c r="T147">
        <x:v>0</x:v>
      </x:c>
      <x:c r="U147" s="10">
        <x:v>0</x:v>
      </x:c>
      <x:c r="W147" s="11" t="n">
        <x:f>Summary!$B$2</x:f>
        <x:v>0.15</x:v>
      </x:c>
      <x:c r="X147" s="11" t="n">
        <x:f>IFERROR(AD147-Summary!$B$2,"")</x:f>
        <x:v>-0.15</x:v>
      </x:c>
      <x:c r="Y147" s="10" t="str">
        <x:f>IFERROR((U147/Q147)*Summary!$B$2,"")</x:f>
      </x:c>
      <x:c r="Z147" s="12" t="n">
        <x:f>IFERROR(Q147/O147,0)</x:f>
        <x:v>0</x:v>
      </x:c>
      <x:c r="AA147" s="12" t="n">
        <x:f>IFERROR(T147/Q147,0)</x:f>
        <x:v>0</x:v>
      </x:c>
      <x:c r="AB147" s="10" t="n">
        <x:f>IFERROR(R147/Q147,0)</x:f>
        <x:v>0</x:v>
      </x:c>
      <x:c r="AC147" s="10" t="n">
        <x:f>IFERROR(U147/R147,0)</x:f>
        <x:v>0</x:v>
      </x:c>
      <x:c r="AD147" s="12" t="n">
        <x:f>IFERROR(R147/U147,0)</x:f>
        <x:v>0</x:v>
      </x:c>
      <x:c r="AE147" s="10" t="n">
        <x:f>IFERROR(U147/Q147,0)</x:f>
        <x:v>0</x:v>
      </x:c>
      <x:c r="AF147" s="10" t="n">
        <x:f>IF(Q147=0,M147,IF(U147=0,IF(Q147&gt;=10,MAX(0.02,M147*0.7),M147),IF(AD147=0,M147,MAX(0.02,IF(AD147&gt;Summary!$B$2,M147*Summary!$B$2/AD147,MIN(M147*1.2,M147*Summary!$B$2/AD147))))))</x:f>
        <x:v>1.09</x:v>
      </x:c>
      <x:c r="AG147" s="11" t="n">
        <x:f>IFERROR(AF147/M147-1,0)</x:f>
        <x:v>0</x:v>
      </x:c>
      <x:c r="AH147" t="str">
        <x:f>IF(Q147=0,"Need clicks",IF(AND(U147=0,Q147&gt;=10),"No sales: lower/pause",IF(AND(AD147&gt;Summary!$B$2,T147&gt;0),"Over target: reduce",IF(AND(AD147&lt;=Summary!$B$2,T147&gt;0),"At/under target: scale/hold",IF(AND(Q147&gt;0,T147=0),"Collect data","Review")))))</x:f>
        <x:v>Need clicks</x:v>
      </x:c>
      <x:c r="AI147" s="10" t="n">
        <x:f>IFERROR(IF(U147=0,R147,MAX(0,R147-(U147*Summary!$B$2))),0)</x:f>
        <x:v>0</x:v>
      </x:c>
      <x:c r="AJ147" t="str">
        <x:f>IF(AH147="No sales: lower/pause","Waste",IF(AH147="Over target: reduce","Inefficient",IF(AH147="At/under target: scale/hold","Efficient",IF(AND(O147&gt;=1000,Q147=0),"High imp/no click","Data gathering"))))</x:f>
        <x:v>Data gathering</x:v>
      </x:c>
    </x:row>
    <x:row r="148">
      <x:c r="A148" t="s">
        <x:v>22</x:v>
      </x:c>
      <x:c r="B148" t="s">
        <x:v>221</x:v>
      </x:c>
      <x:c r="C148" t="s">
        <x:v>22</x:v>
      </x:c>
      <x:c r="D148" t="s">
        <x:v>218</x:v>
      </x:c>
      <x:c r="E148" t="s">
        <x:v>219</x:v>
      </x:c>
      <x:c r="F148" t="s">
        <x:v>26</x:v>
      </x:c>
      <x:c r="G148" t="s">
        <x:v>27</x:v>
      </x:c>
      <x:c r="H148" t="s">
        <x:v>220</x:v>
      </x:c>
      <x:c r="I148">
        <x:v>2</x:v>
      </x:c>
      <x:c r="L148">
        <x:v>0</x:v>
      </x:c>
      <x:c r="M148">
        <x:v>2.13</x:v>
      </x:c>
      <x:c r="N148">
        <x:v>2.98</x:v>
      </x:c>
      <x:c r="O148">
        <x:v>16</x:v>
      </x:c>
      <x:c r="P148">
        <x:v>3.8610038610038602E-2</x:v>
      </x:c>
      <x:c r="Q148">
        <x:v>0</x:v>
      </x:c>
      <x:c r="R148" s="10">
        <x:v>0</x:v>
      </x:c>
      <x:c r="S148">
        <x:v>0</x:v>
      </x:c>
      <x:c r="T148">
        <x:v>0</x:v>
      </x:c>
      <x:c r="U148" s="10">
        <x:v>0</x:v>
      </x:c>
      <x:c r="W148" s="11" t="n">
        <x:f>Summary!$B$2</x:f>
        <x:v>0.15</x:v>
      </x:c>
      <x:c r="X148" s="11" t="n">
        <x:f>IFERROR(AD148-Summary!$B$2,"")</x:f>
        <x:v>-0.15</x:v>
      </x:c>
      <x:c r="Y148" s="10" t="str">
        <x:f>IFERROR((U148/Q148)*Summary!$B$2,"")</x:f>
      </x:c>
      <x:c r="Z148" s="12" t="n">
        <x:f>IFERROR(Q148/O148,0)</x:f>
        <x:v>0</x:v>
      </x:c>
      <x:c r="AA148" s="12" t="n">
        <x:f>IFERROR(T148/Q148,0)</x:f>
        <x:v>0</x:v>
      </x:c>
      <x:c r="AB148" s="10" t="n">
        <x:f>IFERROR(R148/Q148,0)</x:f>
        <x:v>0</x:v>
      </x:c>
      <x:c r="AC148" s="10" t="n">
        <x:f>IFERROR(U148/R148,0)</x:f>
        <x:v>0</x:v>
      </x:c>
      <x:c r="AD148" s="12" t="n">
        <x:f>IFERROR(R148/U148,0)</x:f>
        <x:v>0</x:v>
      </x:c>
      <x:c r="AE148" s="10" t="n">
        <x:f>IFERROR(U148/Q148,0)</x:f>
        <x:v>0</x:v>
      </x:c>
      <x:c r="AF148" s="10" t="n">
        <x:f>IF(Q148=0,M148,IF(U148=0,IF(Q148&gt;=10,MAX(0.02,M148*0.7),M148),IF(AD148=0,M148,MAX(0.02,IF(AD148&gt;Summary!$B$2,M148*Summary!$B$2/AD148,MIN(M148*1.2,M148*Summary!$B$2/AD148))))))</x:f>
        <x:v>2.13</x:v>
      </x:c>
      <x:c r="AG148" s="11" t="n">
        <x:f>IFERROR(AF148/M148-1,0)</x:f>
        <x:v>0</x:v>
      </x:c>
      <x:c r="AH148" t="str">
        <x:f>IF(Q148=0,"Need clicks",IF(AND(U148=0,Q148&gt;=10),"No sales: lower/pause",IF(AND(AD148&gt;Summary!$B$2,T148&gt;0),"Over target: reduce",IF(AND(AD148&lt;=Summary!$B$2,T148&gt;0),"At/under target: scale/hold",IF(AND(Q148&gt;0,T148=0),"Collect data","Review")))))</x:f>
        <x:v>Need clicks</x:v>
      </x:c>
      <x:c r="AI148" s="10" t="n">
        <x:f>IFERROR(IF(U148=0,R148,MAX(0,R148-(U148*Summary!$B$2))),0)</x:f>
        <x:v>0</x:v>
      </x:c>
      <x:c r="AJ148" t="str">
        <x:f>IF(AH148="No sales: lower/pause","Waste",IF(AH148="Over target: reduce","Inefficient",IF(AH148="At/under target: scale/hold","Efficient",IF(AND(O148&gt;=1000,Q148=0),"High imp/no click","Data gathering"))))</x:f>
        <x:v>Data gathering</x:v>
      </x:c>
    </x:row>
    <x:row r="149">
      <x:c r="A149" t="s">
        <x:v>22</x:v>
      </x:c>
      <x:c r="B149" t="s">
        <x:v>222</x:v>
      </x:c>
      <x:c r="C149" t="s">
        <x:v>22</x:v>
      </x:c>
      <x:c r="D149" t="s">
        <x:v>218</x:v>
      </x:c>
      <x:c r="E149" t="s">
        <x:v>219</x:v>
      </x:c>
      <x:c r="F149" t="s">
        <x:v>26</x:v>
      </x:c>
      <x:c r="G149" t="s">
        <x:v>27</x:v>
      </x:c>
      <x:c r="H149" t="s">
        <x:v>220</x:v>
      </x:c>
      <x:c r="I149">
        <x:v>2</x:v>
      </x:c>
      <x:c r="L149">
        <x:v>0</x:v>
      </x:c>
      <x:c r="M149">
        <x:v>1.69</x:v>
      </x:c>
      <x:c r="N149">
        <x:v>0.66</x:v>
      </x:c>
      <x:c r="O149">
        <x:v>31</x:v>
      </x:c>
      <x:c r="P149" s="1" t="s">
        <x:v>223</x:v>
      </x:c>
      <x:c r="Q149">
        <x:v>0</x:v>
      </x:c>
      <x:c r="R149" s="10">
        <x:v>0</x:v>
      </x:c>
      <x:c r="S149">
        <x:v>0</x:v>
      </x:c>
      <x:c r="T149">
        <x:v>0</x:v>
      </x:c>
      <x:c r="U149" s="10">
        <x:v>0</x:v>
      </x:c>
      <x:c r="W149" s="11" t="n">
        <x:f>Summary!$B$2</x:f>
        <x:v>0.15</x:v>
      </x:c>
      <x:c r="X149" s="11" t="n">
        <x:f>IFERROR(AD149-Summary!$B$2,"")</x:f>
        <x:v>-0.15</x:v>
      </x:c>
      <x:c r="Y149" s="10" t="str">
        <x:f>IFERROR((U149/Q149)*Summary!$B$2,"")</x:f>
      </x:c>
      <x:c r="Z149" s="12" t="n">
        <x:f>IFERROR(Q149/O149,0)</x:f>
        <x:v>0</x:v>
      </x:c>
      <x:c r="AA149" s="12" t="n">
        <x:f>IFERROR(T149/Q149,0)</x:f>
        <x:v>0</x:v>
      </x:c>
      <x:c r="AB149" s="10" t="n">
        <x:f>IFERROR(R149/Q149,0)</x:f>
        <x:v>0</x:v>
      </x:c>
      <x:c r="AC149" s="10" t="n">
        <x:f>IFERROR(U149/R149,0)</x:f>
        <x:v>0</x:v>
      </x:c>
      <x:c r="AD149" s="12" t="n">
        <x:f>IFERROR(R149/U149,0)</x:f>
        <x:v>0</x:v>
      </x:c>
      <x:c r="AE149" s="10" t="n">
        <x:f>IFERROR(U149/Q149,0)</x:f>
        <x:v>0</x:v>
      </x:c>
      <x:c r="AF149" s="10" t="n">
        <x:f>IF(Q149=0,M149,IF(U149=0,IF(Q149&gt;=10,MAX(0.02,M149*0.7),M149),IF(AD149=0,M149,MAX(0.02,IF(AD149&gt;Summary!$B$2,M149*Summary!$B$2/AD149,MIN(M149*1.2,M149*Summary!$B$2/AD149))))))</x:f>
        <x:v>1.69</x:v>
      </x:c>
      <x:c r="AG149" s="11" t="n">
        <x:f>IFERROR(AF149/M149-1,0)</x:f>
        <x:v>0</x:v>
      </x:c>
      <x:c r="AH149" t="str">
        <x:f>IF(Q149=0,"Need clicks",IF(AND(U149=0,Q149&gt;=10),"No sales: lower/pause",IF(AND(AD149&gt;Summary!$B$2,T149&gt;0),"Over target: reduce",IF(AND(AD149&lt;=Summary!$B$2,T149&gt;0),"At/under target: scale/hold",IF(AND(Q149&gt;0,T149=0),"Collect data","Review")))))</x:f>
        <x:v>Need clicks</x:v>
      </x:c>
      <x:c r="AI149" s="10" t="n">
        <x:f>IFERROR(IF(U149=0,R149,MAX(0,R149-(U149*Summary!$B$2))),0)</x:f>
        <x:v>0</x:v>
      </x:c>
      <x:c r="AJ149" t="str">
        <x:f>IF(AH149="No sales: lower/pause","Waste",IF(AH149="Over target: reduce","Inefficient",IF(AH149="At/under target: scale/hold","Efficient",IF(AND(O149&gt;=1000,Q149=0),"High imp/no click","Data gathering"))))</x:f>
        <x:v>Data gathering</x:v>
      </x:c>
    </x:row>
    <x:row r="150">
      <x:c r="A150" t="s">
        <x:v>22</x:v>
      </x:c>
      <x:c r="B150" t="s">
        <x:v>224</x:v>
      </x:c>
      <x:c r="C150" t="s">
        <x:v>22</x:v>
      </x:c>
      <x:c r="D150" t="s">
        <x:v>218</x:v>
      </x:c>
      <x:c r="E150" t="s">
        <x:v>219</x:v>
      </x:c>
      <x:c r="F150" t="s">
        <x:v>26</x:v>
      </x:c>
      <x:c r="G150" t="s">
        <x:v>27</x:v>
      </x:c>
      <x:c r="H150" t="s">
        <x:v>220</x:v>
      </x:c>
      <x:c r="I150">
        <x:v>2</x:v>
      </x:c>
      <x:c r="L150">
        <x:v>0</x:v>
      </x:c>
      <x:c r="M150">
        <x:v>1.84</x:v>
      </x:c>
      <x:c r="N150">
        <x:v>1.03</x:v>
      </x:c>
      <x:c r="O150">
        <x:v>12</x:v>
      </x:c>
      <x:c r="P150" s="1" t="s">
        <x:v>225</x:v>
      </x:c>
      <x:c r="Q150">
        <x:v>0</x:v>
      </x:c>
      <x:c r="R150" s="10">
        <x:v>0</x:v>
      </x:c>
      <x:c r="S150">
        <x:v>0</x:v>
      </x:c>
      <x:c r="T150">
        <x:v>0</x:v>
      </x:c>
      <x:c r="U150" s="10">
        <x:v>0</x:v>
      </x:c>
      <x:c r="W150" s="11" t="n">
        <x:f>Summary!$B$2</x:f>
        <x:v>0.15</x:v>
      </x:c>
      <x:c r="X150" s="11" t="n">
        <x:f>IFERROR(AD150-Summary!$B$2,"")</x:f>
        <x:v>-0.15</x:v>
      </x:c>
      <x:c r="Y150" s="10" t="str">
        <x:f>IFERROR((U150/Q150)*Summary!$B$2,"")</x:f>
      </x:c>
      <x:c r="Z150" s="12" t="n">
        <x:f>IFERROR(Q150/O150,0)</x:f>
        <x:v>0</x:v>
      </x:c>
      <x:c r="AA150" s="12" t="n">
        <x:f>IFERROR(T150/Q150,0)</x:f>
        <x:v>0</x:v>
      </x:c>
      <x:c r="AB150" s="10" t="n">
        <x:f>IFERROR(R150/Q150,0)</x:f>
        <x:v>0</x:v>
      </x:c>
      <x:c r="AC150" s="10" t="n">
        <x:f>IFERROR(U150/R150,0)</x:f>
        <x:v>0</x:v>
      </x:c>
      <x:c r="AD150" s="12" t="n">
        <x:f>IFERROR(R150/U150,0)</x:f>
        <x:v>0</x:v>
      </x:c>
      <x:c r="AE150" s="10" t="n">
        <x:f>IFERROR(U150/Q150,0)</x:f>
        <x:v>0</x:v>
      </x:c>
      <x:c r="AF150" s="10" t="n">
        <x:f>IF(Q150=0,M150,IF(U150=0,IF(Q150&gt;=10,MAX(0.02,M150*0.7),M150),IF(AD150=0,M150,MAX(0.02,IF(AD150&gt;Summary!$B$2,M150*Summary!$B$2/AD150,MIN(M150*1.2,M150*Summary!$B$2/AD150))))))</x:f>
        <x:v>1.84</x:v>
      </x:c>
      <x:c r="AG150" s="11" t="n">
        <x:f>IFERROR(AF150/M150-1,0)</x:f>
        <x:v>0</x:v>
      </x:c>
      <x:c r="AH150" t="str">
        <x:f>IF(Q150=0,"Need clicks",IF(AND(U150=0,Q150&gt;=10),"No sales: lower/pause",IF(AND(AD150&gt;Summary!$B$2,T150&gt;0),"Over target: reduce",IF(AND(AD150&lt;=Summary!$B$2,T150&gt;0),"At/under target: scale/hold",IF(AND(Q150&gt;0,T150=0),"Collect data","Review")))))</x:f>
        <x:v>Need clicks</x:v>
      </x:c>
      <x:c r="AI150" s="10" t="n">
        <x:f>IFERROR(IF(U150=0,R150,MAX(0,R150-(U150*Summary!$B$2))),0)</x:f>
        <x:v>0</x:v>
      </x:c>
      <x:c r="AJ150" t="str">
        <x:f>IF(AH150="No sales: lower/pause","Waste",IF(AH150="Over target: reduce","Inefficient",IF(AH150="At/under target: scale/hold","Efficient",IF(AND(O150&gt;=1000,Q150=0),"High imp/no click","Data gathering"))))</x:f>
        <x:v>Data gathering</x:v>
      </x:c>
    </x:row>
    <x:row r="151">
      <x:c r="A151" t="s">
        <x:v>22</x:v>
      </x:c>
      <x:c r="B151" t="s">
        <x:v>226</x:v>
      </x:c>
      <x:c r="C151" t="s">
        <x:v>22</x:v>
      </x:c>
      <x:c r="D151" t="s">
        <x:v>218</x:v>
      </x:c>
      <x:c r="E151" t="s">
        <x:v>219</x:v>
      </x:c>
      <x:c r="F151" t="s">
        <x:v>26</x:v>
      </x:c>
      <x:c r="G151" t="s">
        <x:v>27</x:v>
      </x:c>
      <x:c r="H151" t="s">
        <x:v>220</x:v>
      </x:c>
      <x:c r="I151">
        <x:v>2</x:v>
      </x:c>
      <x:c r="L151">
        <x:v>0</x:v>
      </x:c>
      <x:c r="M151">
        <x:v>0.63</x:v>
      </x:c>
      <x:c r="N151">
        <x:v>0.65</x:v>
      </x:c>
      <x:c r="O151">
        <x:v>16</x:v>
      </x:c>
      <x:c r="P151">
        <x:v>0</x:v>
      </x:c>
      <x:c r="Q151">
        <x:v>0</x:v>
      </x:c>
      <x:c r="R151" s="10">
        <x:v>0</x:v>
      </x:c>
      <x:c r="S151">
        <x:v>0</x:v>
      </x:c>
      <x:c r="T151">
        <x:v>0</x:v>
      </x:c>
      <x:c r="U151" s="10">
        <x:v>0</x:v>
      </x:c>
      <x:c r="W151" s="11" t="n">
        <x:f>Summary!$B$2</x:f>
        <x:v>0.15</x:v>
      </x:c>
      <x:c r="X151" s="11" t="n">
        <x:f>IFERROR(AD151-Summary!$B$2,"")</x:f>
        <x:v>-0.15</x:v>
      </x:c>
      <x:c r="Y151" s="10" t="str">
        <x:f>IFERROR((U151/Q151)*Summary!$B$2,"")</x:f>
      </x:c>
      <x:c r="Z151" s="12" t="n">
        <x:f>IFERROR(Q151/O151,0)</x:f>
        <x:v>0</x:v>
      </x:c>
      <x:c r="AA151" s="12" t="n">
        <x:f>IFERROR(T151/Q151,0)</x:f>
        <x:v>0</x:v>
      </x:c>
      <x:c r="AB151" s="10" t="n">
        <x:f>IFERROR(R151/Q151,0)</x:f>
        <x:v>0</x:v>
      </x:c>
      <x:c r="AC151" s="10" t="n">
        <x:f>IFERROR(U151/R151,0)</x:f>
        <x:v>0</x:v>
      </x:c>
      <x:c r="AD151" s="12" t="n">
        <x:f>IFERROR(R151/U151,0)</x:f>
        <x:v>0</x:v>
      </x:c>
      <x:c r="AE151" s="10" t="n">
        <x:f>IFERROR(U151/Q151,0)</x:f>
        <x:v>0</x:v>
      </x:c>
      <x:c r="AF151" s="10" t="n">
        <x:f>IF(Q151=0,M151,IF(U151=0,IF(Q151&gt;=10,MAX(0.02,M151*0.7),M151),IF(AD151=0,M151,MAX(0.02,IF(AD151&gt;Summary!$B$2,M151*Summary!$B$2/AD151,MIN(M151*1.2,M151*Summary!$B$2/AD151))))))</x:f>
        <x:v>0.63</x:v>
      </x:c>
      <x:c r="AG151" s="11" t="n">
        <x:f>IFERROR(AF151/M151-1,0)</x:f>
        <x:v>0</x:v>
      </x:c>
      <x:c r="AH151" t="str">
        <x:f>IF(Q151=0,"Need clicks",IF(AND(U151=0,Q151&gt;=10),"No sales: lower/pause",IF(AND(AD151&gt;Summary!$B$2,T151&gt;0),"Over target: reduce",IF(AND(AD151&lt;=Summary!$B$2,T151&gt;0),"At/under target: scale/hold",IF(AND(Q151&gt;0,T151=0),"Collect data","Review")))))</x:f>
        <x:v>Need clicks</x:v>
      </x:c>
      <x:c r="AI151" s="10" t="n">
        <x:f>IFERROR(IF(U151=0,R151,MAX(0,R151-(U151*Summary!$B$2))),0)</x:f>
        <x:v>0</x:v>
      </x:c>
      <x:c r="AJ151" t="str">
        <x:f>IF(AH151="No sales: lower/pause","Waste",IF(AH151="Over target: reduce","Inefficient",IF(AH151="At/under target: scale/hold","Efficient",IF(AND(O151&gt;=1000,Q151=0),"High imp/no click","Data gathering"))))</x:f>
        <x:v>Data gathering</x:v>
      </x:c>
    </x:row>
    <x:row r="152">
      <x:c r="A152" t="s">
        <x:v>22</x:v>
      </x:c>
      <x:c r="B152" t="s">
        <x:v>227</x:v>
      </x:c>
      <x:c r="C152" t="s">
        <x:v>22</x:v>
      </x:c>
      <x:c r="D152" t="s">
        <x:v>218</x:v>
      </x:c>
      <x:c r="E152" t="s">
        <x:v>219</x:v>
      </x:c>
      <x:c r="F152" t="s">
        <x:v>26</x:v>
      </x:c>
      <x:c r="G152" t="s">
        <x:v>27</x:v>
      </x:c>
      <x:c r="H152" t="s">
        <x:v>220</x:v>
      </x:c>
      <x:c r="I152">
        <x:v>2</x:v>
      </x:c>
      <x:c r="L152">
        <x:v>0</x:v>
      </x:c>
      <x:c r="M152">
        <x:v>2.15</x:v>
      </x:c>
      <x:c r="N152">
        <x:v>3.94</x:v>
      </x:c>
      <x:c r="O152">
        <x:v>2</x:v>
      </x:c>
      <x:c r="P152">
        <x:v>0</x:v>
      </x:c>
      <x:c r="Q152">
        <x:v>0</x:v>
      </x:c>
      <x:c r="R152" s="10">
        <x:v>0</x:v>
      </x:c>
      <x:c r="S152">
        <x:v>0</x:v>
      </x:c>
      <x:c r="T152">
        <x:v>0</x:v>
      </x:c>
      <x:c r="U152" s="10">
        <x:v>0</x:v>
      </x:c>
      <x:c r="W152" s="11" t="n">
        <x:f>Summary!$B$2</x:f>
        <x:v>0.15</x:v>
      </x:c>
      <x:c r="X152" s="11" t="n">
        <x:f>IFERROR(AD152-Summary!$B$2,"")</x:f>
        <x:v>-0.15</x:v>
      </x:c>
      <x:c r="Y152" s="10" t="str">
        <x:f>IFERROR((U152/Q152)*Summary!$B$2,"")</x:f>
      </x:c>
      <x:c r="Z152" s="12" t="n">
        <x:f>IFERROR(Q152/O152,0)</x:f>
        <x:v>0</x:v>
      </x:c>
      <x:c r="AA152" s="12" t="n">
        <x:f>IFERROR(T152/Q152,0)</x:f>
        <x:v>0</x:v>
      </x:c>
      <x:c r="AB152" s="10" t="n">
        <x:f>IFERROR(R152/Q152,0)</x:f>
        <x:v>0</x:v>
      </x:c>
      <x:c r="AC152" s="10" t="n">
        <x:f>IFERROR(U152/R152,0)</x:f>
        <x:v>0</x:v>
      </x:c>
      <x:c r="AD152" s="12" t="n">
        <x:f>IFERROR(R152/U152,0)</x:f>
        <x:v>0</x:v>
      </x:c>
      <x:c r="AE152" s="10" t="n">
        <x:f>IFERROR(U152/Q152,0)</x:f>
        <x:v>0</x:v>
      </x:c>
      <x:c r="AF152" s="10" t="n">
        <x:f>IF(Q152=0,M152,IF(U152=0,IF(Q152&gt;=10,MAX(0.02,M152*0.7),M152),IF(AD152=0,M152,MAX(0.02,IF(AD152&gt;Summary!$B$2,M152*Summary!$B$2/AD152,MIN(M152*1.2,M152*Summary!$B$2/AD152))))))</x:f>
        <x:v>2.15</x:v>
      </x:c>
      <x:c r="AG152" s="11" t="n">
        <x:f>IFERROR(AF152/M152-1,0)</x:f>
        <x:v>0</x:v>
      </x:c>
      <x:c r="AH152" t="str">
        <x:f>IF(Q152=0,"Need clicks",IF(AND(U152=0,Q152&gt;=10),"No sales: lower/pause",IF(AND(AD152&gt;Summary!$B$2,T152&gt;0),"Over target: reduce",IF(AND(AD152&lt;=Summary!$B$2,T152&gt;0),"At/under target: scale/hold",IF(AND(Q152&gt;0,T152=0),"Collect data","Review")))))</x:f>
        <x:v>Need clicks</x:v>
      </x:c>
      <x:c r="AI152" s="10" t="n">
        <x:f>IFERROR(IF(U152=0,R152,MAX(0,R152-(U152*Summary!$B$2))),0)</x:f>
        <x:v>0</x:v>
      </x:c>
      <x:c r="AJ152" t="str">
        <x:f>IF(AH152="No sales: lower/pause","Waste",IF(AH152="Over target: reduce","Inefficient",IF(AH152="At/under target: scale/hold","Efficient",IF(AND(O152&gt;=1000,Q152=0),"High imp/no click","Data gathering"))))</x:f>
        <x:v>Data gathering</x:v>
      </x:c>
    </x:row>
    <x:row r="153">
      <x:c r="A153" t="s">
        <x:v>22</x:v>
      </x:c>
      <x:c r="B153" t="s">
        <x:v>228</x:v>
      </x:c>
      <x:c r="C153" t="s">
        <x:v>22</x:v>
      </x:c>
      <x:c r="D153" t="s">
        <x:v>218</x:v>
      </x:c>
      <x:c r="E153" t="s">
        <x:v>219</x:v>
      </x:c>
      <x:c r="F153" t="s">
        <x:v>26</x:v>
      </x:c>
      <x:c r="G153" t="s">
        <x:v>27</x:v>
      </x:c>
      <x:c r="H153" t="s">
        <x:v>220</x:v>
      </x:c>
      <x:c r="I153">
        <x:v>2</x:v>
      </x:c>
      <x:c r="L153">
        <x:v>0</x:v>
      </x:c>
      <x:c r="M153">
        <x:v>1.51</x:v>
      </x:c>
      <x:c r="N153">
        <x:v>2.11</x:v>
      </x:c>
      <x:c r="O153">
        <x:v>175</x:v>
      </x:c>
      <x:c r="P153">
        <x:v>0</x:v>
      </x:c>
      <x:c r="Q153">
        <x:v>0</x:v>
      </x:c>
      <x:c r="R153" s="10">
        <x:v>0</x:v>
      </x:c>
      <x:c r="S153">
        <x:v>0</x:v>
      </x:c>
      <x:c r="T153">
        <x:v>0</x:v>
      </x:c>
      <x:c r="U153" s="10">
        <x:v>0</x:v>
      </x:c>
      <x:c r="W153" s="11" t="n">
        <x:f>Summary!$B$2</x:f>
        <x:v>0.15</x:v>
      </x:c>
      <x:c r="X153" s="11" t="n">
        <x:f>IFERROR(AD153-Summary!$B$2,"")</x:f>
        <x:v>-0.15</x:v>
      </x:c>
      <x:c r="Y153" s="10" t="str">
        <x:f>IFERROR((U153/Q153)*Summary!$B$2,"")</x:f>
      </x:c>
      <x:c r="Z153" s="12" t="n">
        <x:f>IFERROR(Q153/O153,0)</x:f>
        <x:v>0</x:v>
      </x:c>
      <x:c r="AA153" s="12" t="n">
        <x:f>IFERROR(T153/Q153,0)</x:f>
        <x:v>0</x:v>
      </x:c>
      <x:c r="AB153" s="10" t="n">
        <x:f>IFERROR(R153/Q153,0)</x:f>
        <x:v>0</x:v>
      </x:c>
      <x:c r="AC153" s="10" t="n">
        <x:f>IFERROR(U153/R153,0)</x:f>
        <x:v>0</x:v>
      </x:c>
      <x:c r="AD153" s="12" t="n">
        <x:f>IFERROR(R153/U153,0)</x:f>
        <x:v>0</x:v>
      </x:c>
      <x:c r="AE153" s="10" t="n">
        <x:f>IFERROR(U153/Q153,0)</x:f>
        <x:v>0</x:v>
      </x:c>
      <x:c r="AF153" s="10" t="n">
        <x:f>IF(Q153=0,M153,IF(U153=0,IF(Q153&gt;=10,MAX(0.02,M153*0.7),M153),IF(AD153=0,M153,MAX(0.02,IF(AD153&gt;Summary!$B$2,M153*Summary!$B$2/AD153,MIN(M153*1.2,M153*Summary!$B$2/AD153))))))</x:f>
        <x:v>1.51</x:v>
      </x:c>
      <x:c r="AG153" s="11" t="n">
        <x:f>IFERROR(AF153/M153-1,0)</x:f>
        <x:v>0</x:v>
      </x:c>
      <x:c r="AH153" t="str">
        <x:f>IF(Q153=0,"Need clicks",IF(AND(U153=0,Q153&gt;=10),"No sales: lower/pause",IF(AND(AD153&gt;Summary!$B$2,T153&gt;0),"Over target: reduce",IF(AND(AD153&lt;=Summary!$B$2,T153&gt;0),"At/under target: scale/hold",IF(AND(Q153&gt;0,T153=0),"Collect data","Review")))))</x:f>
        <x:v>Need clicks</x:v>
      </x:c>
      <x:c r="AI153" s="10" t="n">
        <x:f>IFERROR(IF(U153=0,R153,MAX(0,R153-(U153*Summary!$B$2))),0)</x:f>
        <x:v>0</x:v>
      </x:c>
      <x:c r="AJ153" t="str">
        <x:f>IF(AH153="No sales: lower/pause","Waste",IF(AH153="Over target: reduce","Inefficient",IF(AH153="At/under target: scale/hold","Efficient",IF(AND(O153&gt;=1000,Q153=0),"High imp/no click","Data gathering"))))</x:f>
        <x:v>Data gathering</x:v>
      </x:c>
    </x:row>
    <x:row r="154">
      <x:c r="A154" t="s">
        <x:v>22</x:v>
      </x:c>
      <x:c r="B154" t="s">
        <x:v>229</x:v>
      </x:c>
      <x:c r="C154" t="s">
        <x:v>22</x:v>
      </x:c>
      <x:c r="D154" t="s">
        <x:v>218</x:v>
      </x:c>
      <x:c r="E154" t="s">
        <x:v>219</x:v>
      </x:c>
      <x:c r="F154" t="s">
        <x:v>26</x:v>
      </x:c>
      <x:c r="G154" t="s">
        <x:v>27</x:v>
      </x:c>
      <x:c r="H154" t="s">
        <x:v>220</x:v>
      </x:c>
      <x:c r="I154">
        <x:v>2</x:v>
      </x:c>
      <x:c r="L154">
        <x:v>0</x:v>
      </x:c>
      <x:c r="M154">
        <x:v>0.78</x:v>
      </x:c>
      <x:c r="N154">
        <x:v>0.91</x:v>
      </x:c>
      <x:c r="O154">
        <x:v>29</x:v>
      </x:c>
      <x:c r="P154" s="1" t="s">
        <x:v>230</x:v>
      </x:c>
      <x:c r="Q154">
        <x:v>0</x:v>
      </x:c>
      <x:c r="R154" s="10">
        <x:v>0</x:v>
      </x:c>
      <x:c r="S154">
        <x:v>0</x:v>
      </x:c>
      <x:c r="T154">
        <x:v>0</x:v>
      </x:c>
      <x:c r="U154" s="10">
        <x:v>0</x:v>
      </x:c>
      <x:c r="W154" s="11" t="n">
        <x:f>Summary!$B$2</x:f>
        <x:v>0.15</x:v>
      </x:c>
      <x:c r="X154" s="11" t="n">
        <x:f>IFERROR(AD154-Summary!$B$2,"")</x:f>
        <x:v>-0.15</x:v>
      </x:c>
      <x:c r="Y154" s="10" t="str">
        <x:f>IFERROR((U154/Q154)*Summary!$B$2,"")</x:f>
      </x:c>
      <x:c r="Z154" s="12" t="n">
        <x:f>IFERROR(Q154/O154,0)</x:f>
        <x:v>0</x:v>
      </x:c>
      <x:c r="AA154" s="12" t="n">
        <x:f>IFERROR(T154/Q154,0)</x:f>
        <x:v>0</x:v>
      </x:c>
      <x:c r="AB154" s="10" t="n">
        <x:f>IFERROR(R154/Q154,0)</x:f>
        <x:v>0</x:v>
      </x:c>
      <x:c r="AC154" s="10" t="n">
        <x:f>IFERROR(U154/R154,0)</x:f>
        <x:v>0</x:v>
      </x:c>
      <x:c r="AD154" s="12" t="n">
        <x:f>IFERROR(R154/U154,0)</x:f>
        <x:v>0</x:v>
      </x:c>
      <x:c r="AE154" s="10" t="n">
        <x:f>IFERROR(U154/Q154,0)</x:f>
        <x:v>0</x:v>
      </x:c>
      <x:c r="AF154" s="10" t="n">
        <x:f>IF(Q154=0,M154,IF(U154=0,IF(Q154&gt;=10,MAX(0.02,M154*0.7),M154),IF(AD154=0,M154,MAX(0.02,IF(AD154&gt;Summary!$B$2,M154*Summary!$B$2/AD154,MIN(M154*1.2,M154*Summary!$B$2/AD154))))))</x:f>
        <x:v>0.78</x:v>
      </x:c>
      <x:c r="AG154" s="11" t="n">
        <x:f>IFERROR(AF154/M154-1,0)</x:f>
        <x:v>0</x:v>
      </x:c>
      <x:c r="AH154" t="str">
        <x:f>IF(Q154=0,"Need clicks",IF(AND(U154=0,Q154&gt;=10),"No sales: lower/pause",IF(AND(AD154&gt;Summary!$B$2,T154&gt;0),"Over target: reduce",IF(AND(AD154&lt;=Summary!$B$2,T154&gt;0),"At/under target: scale/hold",IF(AND(Q154&gt;0,T154=0),"Collect data","Review")))))</x:f>
        <x:v>Need clicks</x:v>
      </x:c>
      <x:c r="AI154" s="10" t="n">
        <x:f>IFERROR(IF(U154=0,R154,MAX(0,R154-(U154*Summary!$B$2))),0)</x:f>
        <x:v>0</x:v>
      </x:c>
      <x:c r="AJ154" t="str">
        <x:f>IF(AH154="No sales: lower/pause","Waste",IF(AH154="Over target: reduce","Inefficient",IF(AH154="At/under target: scale/hold","Efficient",IF(AND(O154&gt;=1000,Q154=0),"High imp/no click","Data gathering"))))</x:f>
        <x:v>Data gathering</x:v>
      </x:c>
    </x:row>
    <x:row r="155">
      <x:c r="A155" t="s">
        <x:v>22</x:v>
      </x:c>
      <x:c r="B155" t="s">
        <x:v>229</x:v>
      </x:c>
      <x:c r="C155" t="s">
        <x:v>22</x:v>
      </x:c>
      <x:c r="D155" t="s">
        <x:v>39</x:v>
      </x:c>
      <x:c r="E155" t="s">
        <x:v>219</x:v>
      </x:c>
      <x:c r="F155" t="s">
        <x:v>26</x:v>
      </x:c>
      <x:c r="G155" t="s">
        <x:v>27</x:v>
      </x:c>
      <x:c r="H155" t="s">
        <x:v>220</x:v>
      </x:c>
      <x:c r="I155">
        <x:v>2</x:v>
      </x:c>
      <x:c r="L155">
        <x:v>0</x:v>
      </x:c>
      <x:c r="M155">
        <x:v>1</x:v>
      </x:c>
      <x:c r="N155">
        <x:v>1.95</x:v>
      </x:c>
      <x:c r="O155">
        <x:v>3</x:v>
      </x:c>
      <x:c r="P155">
        <x:v>0</x:v>
      </x:c>
      <x:c r="Q155">
        <x:v>0</x:v>
      </x:c>
      <x:c r="R155" s="10">
        <x:v>0</x:v>
      </x:c>
      <x:c r="S155">
        <x:v>0</x:v>
      </x:c>
      <x:c r="T155">
        <x:v>0</x:v>
      </x:c>
      <x:c r="U155" s="10">
        <x:v>0</x:v>
      </x:c>
      <x:c r="W155" s="11" t="n">
        <x:f>Summary!$B$2</x:f>
        <x:v>0.15</x:v>
      </x:c>
      <x:c r="X155" s="11" t="n">
        <x:f>IFERROR(AD155-Summary!$B$2,"")</x:f>
        <x:v>-0.15</x:v>
      </x:c>
      <x:c r="Y155" s="10" t="str">
        <x:f>IFERROR((U155/Q155)*Summary!$B$2,"")</x:f>
      </x:c>
      <x:c r="Z155" s="12" t="n">
        <x:f>IFERROR(Q155/O155,0)</x:f>
        <x:v>0</x:v>
      </x:c>
      <x:c r="AA155" s="12" t="n">
        <x:f>IFERROR(T155/Q155,0)</x:f>
        <x:v>0</x:v>
      </x:c>
      <x:c r="AB155" s="10" t="n">
        <x:f>IFERROR(R155/Q155,0)</x:f>
        <x:v>0</x:v>
      </x:c>
      <x:c r="AC155" s="10" t="n">
        <x:f>IFERROR(U155/R155,0)</x:f>
        <x:v>0</x:v>
      </x:c>
      <x:c r="AD155" s="12" t="n">
        <x:f>IFERROR(R155/U155,0)</x:f>
        <x:v>0</x:v>
      </x:c>
      <x:c r="AE155" s="10" t="n">
        <x:f>IFERROR(U155/Q155,0)</x:f>
        <x:v>0</x:v>
      </x:c>
      <x:c r="AF155" s="10" t="n">
        <x:f>IF(Q155=0,M155,IF(U155=0,IF(Q155&gt;=10,MAX(0.02,M155*0.7),M155),IF(AD155=0,M155,MAX(0.02,IF(AD155&gt;Summary!$B$2,M155*Summary!$B$2/AD155,MIN(M155*1.2,M155*Summary!$B$2/AD155))))))</x:f>
        <x:v>1</x:v>
      </x:c>
      <x:c r="AG155" s="11" t="n">
        <x:f>IFERROR(AF155/M155-1,0)</x:f>
        <x:v>0</x:v>
      </x:c>
      <x:c r="AH155" t="str">
        <x:f>IF(Q155=0,"Need clicks",IF(AND(U155=0,Q155&gt;=10),"No sales: lower/pause",IF(AND(AD155&gt;Summary!$B$2,T155&gt;0),"Over target: reduce",IF(AND(AD155&lt;=Summary!$B$2,T155&gt;0),"At/under target: scale/hold",IF(AND(Q155&gt;0,T155=0),"Collect data","Review")))))</x:f>
        <x:v>Need clicks</x:v>
      </x:c>
      <x:c r="AI155" s="10" t="n">
        <x:f>IFERROR(IF(U155=0,R155,MAX(0,R155-(U155*Summary!$B$2))),0)</x:f>
        <x:v>0</x:v>
      </x:c>
      <x:c r="AJ155" t="str">
        <x:f>IF(AH155="No sales: lower/pause","Waste",IF(AH155="Over target: reduce","Inefficient",IF(AH155="At/under target: scale/hold","Efficient",IF(AND(O155&gt;=1000,Q155=0),"High imp/no click","Data gathering"))))</x:f>
        <x:v>Data gathering</x:v>
      </x:c>
    </x:row>
    <x:row r="156">
      <x:c r="A156" t="s">
        <x:v>22</x:v>
      </x:c>
      <x:c r="B156" t="s">
        <x:v>231</x:v>
      </x:c>
      <x:c r="C156" t="s">
        <x:v>22</x:v>
      </x:c>
      <x:c r="D156" t="s">
        <x:v>218</x:v>
      </x:c>
      <x:c r="E156" t="s">
        <x:v>219</x:v>
      </x:c>
      <x:c r="F156" t="s">
        <x:v>26</x:v>
      </x:c>
      <x:c r="G156" t="s">
        <x:v>27</x:v>
      </x:c>
      <x:c r="H156" t="s">
        <x:v>220</x:v>
      </x:c>
      <x:c r="I156">
        <x:v>2</x:v>
      </x:c>
      <x:c r="L156">
        <x:v>0</x:v>
      </x:c>
      <x:c r="M156">
        <x:v>1.69</x:v>
      </x:c>
      <x:c r="N156">
        <x:v>1.84</x:v>
      </x:c>
      <x:c r="O156">
        <x:v>9</x:v>
      </x:c>
      <x:c r="P156" s="1" t="s">
        <x:v>232</x:v>
      </x:c>
      <x:c r="Q156">
        <x:v>0</x:v>
      </x:c>
      <x:c r="R156" s="10">
        <x:v>0</x:v>
      </x:c>
      <x:c r="S156">
        <x:v>0</x:v>
      </x:c>
      <x:c r="T156">
        <x:v>0</x:v>
      </x:c>
      <x:c r="U156" s="10">
        <x:v>0</x:v>
      </x:c>
      <x:c r="W156" s="11" t="n">
        <x:f>Summary!$B$2</x:f>
        <x:v>0.15</x:v>
      </x:c>
      <x:c r="X156" s="11" t="n">
        <x:f>IFERROR(AD156-Summary!$B$2,"")</x:f>
        <x:v>-0.15</x:v>
      </x:c>
      <x:c r="Y156" s="10" t="str">
        <x:f>IFERROR((U156/Q156)*Summary!$B$2,"")</x:f>
      </x:c>
      <x:c r="Z156" s="12" t="n">
        <x:f>IFERROR(Q156/O156,0)</x:f>
        <x:v>0</x:v>
      </x:c>
      <x:c r="AA156" s="12" t="n">
        <x:f>IFERROR(T156/Q156,0)</x:f>
        <x:v>0</x:v>
      </x:c>
      <x:c r="AB156" s="10" t="n">
        <x:f>IFERROR(R156/Q156,0)</x:f>
        <x:v>0</x:v>
      </x:c>
      <x:c r="AC156" s="10" t="n">
        <x:f>IFERROR(U156/R156,0)</x:f>
        <x:v>0</x:v>
      </x:c>
      <x:c r="AD156" s="12" t="n">
        <x:f>IFERROR(R156/U156,0)</x:f>
        <x:v>0</x:v>
      </x:c>
      <x:c r="AE156" s="10" t="n">
        <x:f>IFERROR(U156/Q156,0)</x:f>
        <x:v>0</x:v>
      </x:c>
      <x:c r="AF156" s="10" t="n">
        <x:f>IF(Q156=0,M156,IF(U156=0,IF(Q156&gt;=10,MAX(0.02,M156*0.7),M156),IF(AD156=0,M156,MAX(0.02,IF(AD156&gt;Summary!$B$2,M156*Summary!$B$2/AD156,MIN(M156*1.2,M156*Summary!$B$2/AD156))))))</x:f>
        <x:v>1.69</x:v>
      </x:c>
      <x:c r="AG156" s="11" t="n">
        <x:f>IFERROR(AF156/M156-1,0)</x:f>
        <x:v>0</x:v>
      </x:c>
      <x:c r="AH156" t="str">
        <x:f>IF(Q156=0,"Need clicks",IF(AND(U156=0,Q156&gt;=10),"No sales: lower/pause",IF(AND(AD156&gt;Summary!$B$2,T156&gt;0),"Over target: reduce",IF(AND(AD156&lt;=Summary!$B$2,T156&gt;0),"At/under target: scale/hold",IF(AND(Q156&gt;0,T156=0),"Collect data","Review")))))</x:f>
        <x:v>Need clicks</x:v>
      </x:c>
      <x:c r="AI156" s="10" t="n">
        <x:f>IFERROR(IF(U156=0,R156,MAX(0,R156-(U156*Summary!$B$2))),0)</x:f>
        <x:v>0</x:v>
      </x:c>
      <x:c r="AJ156" t="str">
        <x:f>IF(AH156="No sales: lower/pause","Waste",IF(AH156="Over target: reduce","Inefficient",IF(AH156="At/under target: scale/hold","Efficient",IF(AND(O156&gt;=1000,Q156=0),"High imp/no click","Data gathering"))))</x:f>
        <x:v>Data gathering</x:v>
      </x:c>
    </x:row>
    <x:row r="157">
      <x:c r="A157" t="s">
        <x:v>22</x:v>
      </x:c>
      <x:c r="B157" t="s">
        <x:v>233</x:v>
      </x:c>
      <x:c r="C157" t="s">
        <x:v>22</x:v>
      </x:c>
      <x:c r="D157" t="s">
        <x:v>218</x:v>
      </x:c>
      <x:c r="E157" t="s">
        <x:v>219</x:v>
      </x:c>
      <x:c r="F157" t="s">
        <x:v>26</x:v>
      </x:c>
      <x:c r="G157" t="s">
        <x:v>27</x:v>
      </x:c>
      <x:c r="H157" t="s">
        <x:v>220</x:v>
      </x:c>
      <x:c r="I157">
        <x:v>2</x:v>
      </x:c>
      <x:c r="L157">
        <x:v>0</x:v>
      </x:c>
      <x:c r="M157">
        <x:v>2.0699999999999998</x:v>
      </x:c>
      <x:c r="N157">
        <x:v>3.28</x:v>
      </x:c>
      <x:c r="O157">
        <x:v>6</x:v>
      </x:c>
      <x:c r="P157" s="1" t="s">
        <x:v>234</x:v>
      </x:c>
      <x:c r="Q157">
        <x:v>0</x:v>
      </x:c>
      <x:c r="R157" s="10">
        <x:v>0</x:v>
      </x:c>
      <x:c r="S157">
        <x:v>0</x:v>
      </x:c>
      <x:c r="T157">
        <x:v>0</x:v>
      </x:c>
      <x:c r="U157" s="10">
        <x:v>0</x:v>
      </x:c>
      <x:c r="W157" s="11" t="n">
        <x:f>Summary!$B$2</x:f>
        <x:v>0.15</x:v>
      </x:c>
      <x:c r="X157" s="11" t="n">
        <x:f>IFERROR(AD157-Summary!$B$2,"")</x:f>
        <x:v>-0.15</x:v>
      </x:c>
      <x:c r="Y157" s="10" t="str">
        <x:f>IFERROR((U157/Q157)*Summary!$B$2,"")</x:f>
      </x:c>
      <x:c r="Z157" s="12" t="n">
        <x:f>IFERROR(Q157/O157,0)</x:f>
        <x:v>0</x:v>
      </x:c>
      <x:c r="AA157" s="12" t="n">
        <x:f>IFERROR(T157/Q157,0)</x:f>
        <x:v>0</x:v>
      </x:c>
      <x:c r="AB157" s="10" t="n">
        <x:f>IFERROR(R157/Q157,0)</x:f>
        <x:v>0</x:v>
      </x:c>
      <x:c r="AC157" s="10" t="n">
        <x:f>IFERROR(U157/R157,0)</x:f>
        <x:v>0</x:v>
      </x:c>
      <x:c r="AD157" s="12" t="n">
        <x:f>IFERROR(R157/U157,0)</x:f>
        <x:v>0</x:v>
      </x:c>
      <x:c r="AE157" s="10" t="n">
        <x:f>IFERROR(U157/Q157,0)</x:f>
        <x:v>0</x:v>
      </x:c>
      <x:c r="AF157" s="10" t="n">
        <x:f>IF(Q157=0,M157,IF(U157=0,IF(Q157&gt;=10,MAX(0.02,M157*0.7),M157),IF(AD157=0,M157,MAX(0.02,IF(AD157&gt;Summary!$B$2,M157*Summary!$B$2/AD157,MIN(M157*1.2,M157*Summary!$B$2/AD157))))))</x:f>
        <x:v>2.07</x:v>
      </x:c>
      <x:c r="AG157" s="11" t="n">
        <x:f>IFERROR(AF157/M157-1,0)</x:f>
        <x:v>0</x:v>
      </x:c>
      <x:c r="AH157" t="str">
        <x:f>IF(Q157=0,"Need clicks",IF(AND(U157=0,Q157&gt;=10),"No sales: lower/pause",IF(AND(AD157&gt;Summary!$B$2,T157&gt;0),"Over target: reduce",IF(AND(AD157&lt;=Summary!$B$2,T157&gt;0),"At/under target: scale/hold",IF(AND(Q157&gt;0,T157=0),"Collect data","Review")))))</x:f>
        <x:v>Need clicks</x:v>
      </x:c>
      <x:c r="AI157" s="10" t="n">
        <x:f>IFERROR(IF(U157=0,R157,MAX(0,R157-(U157*Summary!$B$2))),0)</x:f>
        <x:v>0</x:v>
      </x:c>
      <x:c r="AJ157" t="str">
        <x:f>IF(AH157="No sales: lower/pause","Waste",IF(AH157="Over target: reduce","Inefficient",IF(AH157="At/under target: scale/hold","Efficient",IF(AND(O157&gt;=1000,Q157=0),"High imp/no click","Data gathering"))))</x:f>
        <x:v>Data gathering</x:v>
      </x:c>
    </x:row>
    <x:row r="158">
      <x:c r="A158" t="s">
        <x:v>22</x:v>
      </x:c>
      <x:c r="B158" t="s">
        <x:v>235</x:v>
      </x:c>
      <x:c r="C158" t="s">
        <x:v>22</x:v>
      </x:c>
      <x:c r="D158" t="s">
        <x:v>218</x:v>
      </x:c>
      <x:c r="E158" t="s">
        <x:v>219</x:v>
      </x:c>
      <x:c r="F158" t="s">
        <x:v>26</x:v>
      </x:c>
      <x:c r="G158" t="s">
        <x:v>27</x:v>
      </x:c>
      <x:c r="H158" t="s">
        <x:v>220</x:v>
      </x:c>
      <x:c r="I158">
        <x:v>2</x:v>
      </x:c>
      <x:c r="L158">
        <x:v>0</x:v>
      </x:c>
      <x:c r="M158">
        <x:v>0.72</x:v>
      </x:c>
      <x:c r="N158">
        <x:v>0.33</x:v>
      </x:c>
      <x:c r="O158">
        <x:v>2</x:v>
      </x:c>
      <x:c r="P158">
        <x:v>0</x:v>
      </x:c>
      <x:c r="Q158">
        <x:v>0</x:v>
      </x:c>
      <x:c r="R158" s="10">
        <x:v>0</x:v>
      </x:c>
      <x:c r="S158">
        <x:v>0</x:v>
      </x:c>
      <x:c r="T158">
        <x:v>0</x:v>
      </x:c>
      <x:c r="U158" s="10">
        <x:v>0</x:v>
      </x:c>
      <x:c r="W158" s="11" t="n">
        <x:f>Summary!$B$2</x:f>
        <x:v>0.15</x:v>
      </x:c>
      <x:c r="X158" s="11" t="n">
        <x:f>IFERROR(AD158-Summary!$B$2,"")</x:f>
        <x:v>-0.15</x:v>
      </x:c>
      <x:c r="Y158" s="10" t="str">
        <x:f>IFERROR((U158/Q158)*Summary!$B$2,"")</x:f>
      </x:c>
      <x:c r="Z158" s="12" t="n">
        <x:f>IFERROR(Q158/O158,0)</x:f>
        <x:v>0</x:v>
      </x:c>
      <x:c r="AA158" s="12" t="n">
        <x:f>IFERROR(T158/Q158,0)</x:f>
        <x:v>0</x:v>
      </x:c>
      <x:c r="AB158" s="10" t="n">
        <x:f>IFERROR(R158/Q158,0)</x:f>
        <x:v>0</x:v>
      </x:c>
      <x:c r="AC158" s="10" t="n">
        <x:f>IFERROR(U158/R158,0)</x:f>
        <x:v>0</x:v>
      </x:c>
      <x:c r="AD158" s="12" t="n">
        <x:f>IFERROR(R158/U158,0)</x:f>
        <x:v>0</x:v>
      </x:c>
      <x:c r="AE158" s="10" t="n">
        <x:f>IFERROR(U158/Q158,0)</x:f>
        <x:v>0</x:v>
      </x:c>
      <x:c r="AF158" s="10" t="n">
        <x:f>IF(Q158=0,M158,IF(U158=0,IF(Q158&gt;=10,MAX(0.02,M158*0.7),M158),IF(AD158=0,M158,MAX(0.02,IF(AD158&gt;Summary!$B$2,M158*Summary!$B$2/AD158,MIN(M158*1.2,M158*Summary!$B$2/AD158))))))</x:f>
        <x:v>0.72</x:v>
      </x:c>
      <x:c r="AG158" s="11" t="n">
        <x:f>IFERROR(AF158/M158-1,0)</x:f>
        <x:v>0</x:v>
      </x:c>
      <x:c r="AH158" t="str">
        <x:f>IF(Q158=0,"Need clicks",IF(AND(U158=0,Q158&gt;=10),"No sales: lower/pause",IF(AND(AD158&gt;Summary!$B$2,T158&gt;0),"Over target: reduce",IF(AND(AD158&lt;=Summary!$B$2,T158&gt;0),"At/under target: scale/hold",IF(AND(Q158&gt;0,T158=0),"Collect data","Review")))))</x:f>
        <x:v>Need clicks</x:v>
      </x:c>
      <x:c r="AI158" s="10" t="n">
        <x:f>IFERROR(IF(U158=0,R158,MAX(0,R158-(U158*Summary!$B$2))),0)</x:f>
        <x:v>0</x:v>
      </x:c>
      <x:c r="AJ158" t="str">
        <x:f>IF(AH158="No sales: lower/pause","Waste",IF(AH158="Over target: reduce","Inefficient",IF(AH158="At/under target: scale/hold","Efficient",IF(AND(O158&gt;=1000,Q158=0),"High imp/no click","Data gathering"))))</x:f>
        <x:v>Data gathering</x:v>
      </x:c>
    </x:row>
    <x:row r="159">
      <x:c r="A159" t="s">
        <x:v>22</x:v>
      </x:c>
      <x:c r="B159" t="s">
        <x:v>236</x:v>
      </x:c>
      <x:c r="C159" t="s">
        <x:v>22</x:v>
      </x:c>
      <x:c r="D159" t="s">
        <x:v>218</x:v>
      </x:c>
      <x:c r="E159" t="s">
        <x:v>219</x:v>
      </x:c>
      <x:c r="F159" t="s">
        <x:v>26</x:v>
      </x:c>
      <x:c r="G159" t="s">
        <x:v>27</x:v>
      </x:c>
      <x:c r="H159" t="s">
        <x:v>220</x:v>
      </x:c>
      <x:c r="I159">
        <x:v>2</x:v>
      </x:c>
      <x:c r="L159">
        <x:v>0</x:v>
      </x:c>
      <x:c r="M159">
        <x:v>2.13</x:v>
      </x:c>
      <x:c r="N159">
        <x:v>2.98</x:v>
      </x:c>
      <x:c r="O159">
        <x:v>19</x:v>
      </x:c>
      <x:c r="P159">
        <x:v>0</x:v>
      </x:c>
      <x:c r="Q159">
        <x:v>0</x:v>
      </x:c>
      <x:c r="R159" s="10">
        <x:v>0</x:v>
      </x:c>
      <x:c r="S159">
        <x:v>0</x:v>
      </x:c>
      <x:c r="T159">
        <x:v>0</x:v>
      </x:c>
      <x:c r="U159" s="10">
        <x:v>0</x:v>
      </x:c>
      <x:c r="W159" s="11" t="n">
        <x:f>Summary!$B$2</x:f>
        <x:v>0.15</x:v>
      </x:c>
      <x:c r="X159" s="11" t="n">
        <x:f>IFERROR(AD159-Summary!$B$2,"")</x:f>
        <x:v>-0.15</x:v>
      </x:c>
      <x:c r="Y159" s="10" t="str">
        <x:f>IFERROR((U159/Q159)*Summary!$B$2,"")</x:f>
      </x:c>
      <x:c r="Z159" s="12" t="n">
        <x:f>IFERROR(Q159/O159,0)</x:f>
        <x:v>0</x:v>
      </x:c>
      <x:c r="AA159" s="12" t="n">
        <x:f>IFERROR(T159/Q159,0)</x:f>
        <x:v>0</x:v>
      </x:c>
      <x:c r="AB159" s="10" t="n">
        <x:f>IFERROR(R159/Q159,0)</x:f>
        <x:v>0</x:v>
      </x:c>
      <x:c r="AC159" s="10" t="n">
        <x:f>IFERROR(U159/R159,0)</x:f>
        <x:v>0</x:v>
      </x:c>
      <x:c r="AD159" s="12" t="n">
        <x:f>IFERROR(R159/U159,0)</x:f>
        <x:v>0</x:v>
      </x:c>
      <x:c r="AE159" s="10" t="n">
        <x:f>IFERROR(U159/Q159,0)</x:f>
        <x:v>0</x:v>
      </x:c>
      <x:c r="AF159" s="10" t="n">
        <x:f>IF(Q159=0,M159,IF(U159=0,IF(Q159&gt;=10,MAX(0.02,M159*0.7),M159),IF(AD159=0,M159,MAX(0.02,IF(AD159&gt;Summary!$B$2,M159*Summary!$B$2/AD159,MIN(M159*1.2,M159*Summary!$B$2/AD159))))))</x:f>
        <x:v>2.13</x:v>
      </x:c>
      <x:c r="AG159" s="11" t="n">
        <x:f>IFERROR(AF159/M159-1,0)</x:f>
        <x:v>0</x:v>
      </x:c>
      <x:c r="AH159" t="str">
        <x:f>IF(Q159=0,"Need clicks",IF(AND(U159=0,Q159&gt;=10),"No sales: lower/pause",IF(AND(AD159&gt;Summary!$B$2,T159&gt;0),"Over target: reduce",IF(AND(AD159&lt;=Summary!$B$2,T159&gt;0),"At/under target: scale/hold",IF(AND(Q159&gt;0,T159=0),"Collect data","Review")))))</x:f>
        <x:v>Need clicks</x:v>
      </x:c>
      <x:c r="AI159" s="10" t="n">
        <x:f>IFERROR(IF(U159=0,R159,MAX(0,R159-(U159*Summary!$B$2))),0)</x:f>
        <x:v>0</x:v>
      </x:c>
      <x:c r="AJ159" t="str">
        <x:f>IF(AH159="No sales: lower/pause","Waste",IF(AH159="Over target: reduce","Inefficient",IF(AH159="At/under target: scale/hold","Efficient",IF(AND(O159&gt;=1000,Q159=0),"High imp/no click","Data gathering"))))</x:f>
        <x:v>Data gathering</x:v>
      </x:c>
    </x:row>
    <x:row r="160">
      <x:c r="A160" t="s">
        <x:v>22</x:v>
      </x:c>
      <x:c r="B160" t="s">
        <x:v>237</x:v>
      </x:c>
      <x:c r="C160" t="s">
        <x:v>22</x:v>
      </x:c>
      <x:c r="D160" t="s">
        <x:v>39</x:v>
      </x:c>
      <x:c r="E160" t="s">
        <x:v>219</x:v>
      </x:c>
      <x:c r="F160" t="s">
        <x:v>26</x:v>
      </x:c>
      <x:c r="G160" t="s">
        <x:v>27</x:v>
      </x:c>
      <x:c r="H160" t="s">
        <x:v>220</x:v>
      </x:c>
      <x:c r="I160">
        <x:v>2</x:v>
      </x:c>
      <x:c r="L160">
        <x:v>0</x:v>
      </x:c>
      <x:c r="M160">
        <x:v>3.49</x:v>
      </x:c>
      <x:c r="N160">
        <x:v>2.6</x:v>
      </x:c>
      <x:c r="O160">
        <x:v>1</x:v>
      </x:c>
      <x:c r="P160">
        <x:v>0</x:v>
      </x:c>
      <x:c r="Q160">
        <x:v>0</x:v>
      </x:c>
      <x:c r="R160" s="10">
        <x:v>0</x:v>
      </x:c>
      <x:c r="S160">
        <x:v>0</x:v>
      </x:c>
      <x:c r="T160">
        <x:v>0</x:v>
      </x:c>
      <x:c r="U160" s="10">
        <x:v>0</x:v>
      </x:c>
      <x:c r="W160" s="11" t="n">
        <x:f>Summary!$B$2</x:f>
        <x:v>0.15</x:v>
      </x:c>
      <x:c r="X160" s="11" t="n">
        <x:f>IFERROR(AD160-Summary!$B$2,"")</x:f>
        <x:v>-0.15</x:v>
      </x:c>
      <x:c r="Y160" s="10" t="str">
        <x:f>IFERROR((U160/Q160)*Summary!$B$2,"")</x:f>
      </x:c>
      <x:c r="Z160" s="12" t="n">
        <x:f>IFERROR(Q160/O160,0)</x:f>
        <x:v>0</x:v>
      </x:c>
      <x:c r="AA160" s="12" t="n">
        <x:f>IFERROR(T160/Q160,0)</x:f>
        <x:v>0</x:v>
      </x:c>
      <x:c r="AB160" s="10" t="n">
        <x:f>IFERROR(R160/Q160,0)</x:f>
        <x:v>0</x:v>
      </x:c>
      <x:c r="AC160" s="10" t="n">
        <x:f>IFERROR(U160/R160,0)</x:f>
        <x:v>0</x:v>
      </x:c>
      <x:c r="AD160" s="12" t="n">
        <x:f>IFERROR(R160/U160,0)</x:f>
        <x:v>0</x:v>
      </x:c>
      <x:c r="AE160" s="10" t="n">
        <x:f>IFERROR(U160/Q160,0)</x:f>
        <x:v>0</x:v>
      </x:c>
      <x:c r="AF160" s="10" t="n">
        <x:f>IF(Q160=0,M160,IF(U160=0,IF(Q160&gt;=10,MAX(0.02,M160*0.7),M160),IF(AD160=0,M160,MAX(0.02,IF(AD160&gt;Summary!$B$2,M160*Summary!$B$2/AD160,MIN(M160*1.2,M160*Summary!$B$2/AD160))))))</x:f>
        <x:v>3.49</x:v>
      </x:c>
      <x:c r="AG160" s="11" t="n">
        <x:f>IFERROR(AF160/M160-1,0)</x:f>
        <x:v>0</x:v>
      </x:c>
      <x:c r="AH160" t="str">
        <x:f>IF(Q160=0,"Need clicks",IF(AND(U160=0,Q160&gt;=10),"No sales: lower/pause",IF(AND(AD160&gt;Summary!$B$2,T160&gt;0),"Over target: reduce",IF(AND(AD160&lt;=Summary!$B$2,T160&gt;0),"At/under target: scale/hold",IF(AND(Q160&gt;0,T160=0),"Collect data","Review")))))</x:f>
        <x:v>Need clicks</x:v>
      </x:c>
      <x:c r="AI160" s="10" t="n">
        <x:f>IFERROR(IF(U160=0,R160,MAX(0,R160-(U160*Summary!$B$2))),0)</x:f>
        <x:v>0</x:v>
      </x:c>
      <x:c r="AJ160" t="str">
        <x:f>IF(AH160="No sales: lower/pause","Waste",IF(AH160="Over target: reduce","Inefficient",IF(AH160="At/under target: scale/hold","Efficient",IF(AND(O160&gt;=1000,Q160=0),"High imp/no click","Data gathering"))))</x:f>
        <x:v>Data gathering</x:v>
      </x:c>
    </x:row>
    <x:row r="161">
      <x:c r="A161" t="s">
        <x:v>22</x:v>
      </x:c>
      <x:c r="B161" t="s">
        <x:v>238</x:v>
      </x:c>
      <x:c r="C161" t="s">
        <x:v>22</x:v>
      </x:c>
      <x:c r="D161" t="s">
        <x:v>218</x:v>
      </x:c>
      <x:c r="E161" t="s">
        <x:v>219</x:v>
      </x:c>
      <x:c r="F161" t="s">
        <x:v>26</x:v>
      </x:c>
      <x:c r="G161" t="s">
        <x:v>27</x:v>
      </x:c>
      <x:c r="H161" t="s">
        <x:v>220</x:v>
      </x:c>
      <x:c r="I161">
        <x:v>2</x:v>
      </x:c>
      <x:c r="L161">
        <x:v>0</x:v>
      </x:c>
      <x:c r="M161">
        <x:v>0.78</x:v>
      </x:c>
      <x:c r="N161">
        <x:v>0.91</x:v>
      </x:c>
      <x:c r="O161">
        <x:v>3</x:v>
      </x:c>
      <x:c r="Q161">
        <x:v>0</x:v>
      </x:c>
      <x:c r="R161" s="10">
        <x:v>0</x:v>
      </x:c>
      <x:c r="S161">
        <x:v>0</x:v>
      </x:c>
      <x:c r="T161">
        <x:v>0</x:v>
      </x:c>
      <x:c r="U161" s="10">
        <x:v>0</x:v>
      </x:c>
      <x:c r="W161" s="11" t="n">
        <x:f>Summary!$B$2</x:f>
        <x:v>0.15</x:v>
      </x:c>
      <x:c r="X161" s="11" t="n">
        <x:f>IFERROR(AD161-Summary!$B$2,"")</x:f>
        <x:v>-0.15</x:v>
      </x:c>
      <x:c r="Y161" s="10" t="str">
        <x:f>IFERROR((U161/Q161)*Summary!$B$2,"")</x:f>
      </x:c>
      <x:c r="Z161" s="12" t="n">
        <x:f>IFERROR(Q161/O161,0)</x:f>
        <x:v>0</x:v>
      </x:c>
      <x:c r="AA161" s="12" t="n">
        <x:f>IFERROR(T161/Q161,0)</x:f>
        <x:v>0</x:v>
      </x:c>
      <x:c r="AB161" s="10" t="n">
        <x:f>IFERROR(R161/Q161,0)</x:f>
        <x:v>0</x:v>
      </x:c>
      <x:c r="AC161" s="10" t="n">
        <x:f>IFERROR(U161/R161,0)</x:f>
        <x:v>0</x:v>
      </x:c>
      <x:c r="AD161" s="12" t="n">
        <x:f>IFERROR(R161/U161,0)</x:f>
        <x:v>0</x:v>
      </x:c>
      <x:c r="AE161" s="10" t="n">
        <x:f>IFERROR(U161/Q161,0)</x:f>
        <x:v>0</x:v>
      </x:c>
      <x:c r="AF161" s="10" t="n">
        <x:f>IF(Q161=0,M161,IF(U161=0,IF(Q161&gt;=10,MAX(0.02,M161*0.7),M161),IF(AD161=0,M161,MAX(0.02,IF(AD161&gt;Summary!$B$2,M161*Summary!$B$2/AD161,MIN(M161*1.2,M161*Summary!$B$2/AD161))))))</x:f>
        <x:v>0.78</x:v>
      </x:c>
      <x:c r="AG161" s="11" t="n">
        <x:f>IFERROR(AF161/M161-1,0)</x:f>
        <x:v>0</x:v>
      </x:c>
      <x:c r="AH161" t="str">
        <x:f>IF(Q161=0,"Need clicks",IF(AND(U161=0,Q161&gt;=10),"No sales: lower/pause",IF(AND(AD161&gt;Summary!$B$2,T161&gt;0),"Over target: reduce",IF(AND(AD161&lt;=Summary!$B$2,T161&gt;0),"At/under target: scale/hold",IF(AND(Q161&gt;0,T161=0),"Collect data","Review")))))</x:f>
        <x:v>Need clicks</x:v>
      </x:c>
      <x:c r="AI161" s="10" t="n">
        <x:f>IFERROR(IF(U161=0,R161,MAX(0,R161-(U161*Summary!$B$2))),0)</x:f>
        <x:v>0</x:v>
      </x:c>
      <x:c r="AJ161" t="str">
        <x:f>IF(AH161="No sales: lower/pause","Waste",IF(AH161="Over target: reduce","Inefficient",IF(AH161="At/under target: scale/hold","Efficient",IF(AND(O161&gt;=1000,Q161=0),"High imp/no click","Data gathering"))))</x:f>
        <x:v>Data gathering</x:v>
      </x:c>
    </x:row>
    <x:row r="162">
      <x:c r="A162" t="s">
        <x:v>22</x:v>
      </x:c>
      <x:c r="B162" t="s">
        <x:v>238</x:v>
      </x:c>
      <x:c r="C162" t="s">
        <x:v>22</x:v>
      </x:c>
      <x:c r="D162" t="s">
        <x:v>39</x:v>
      </x:c>
      <x:c r="E162" t="s">
        <x:v>219</x:v>
      </x:c>
      <x:c r="F162" t="s">
        <x:v>26</x:v>
      </x:c>
      <x:c r="G162" t="s">
        <x:v>27</x:v>
      </x:c>
      <x:c r="H162" t="s">
        <x:v>220</x:v>
      </x:c>
      <x:c r="I162">
        <x:v>2</x:v>
      </x:c>
      <x:c r="L162">
        <x:v>0</x:v>
      </x:c>
      <x:c r="M162">
        <x:v>1</x:v>
      </x:c>
      <x:c r="N162">
        <x:v>1.95</x:v>
      </x:c>
      <x:c r="O162">
        <x:v>1</x:v>
      </x:c>
      <x:c r="P162">
        <x:v>0</x:v>
      </x:c>
      <x:c r="Q162">
        <x:v>0</x:v>
      </x:c>
      <x:c r="R162" s="10">
        <x:v>0</x:v>
      </x:c>
      <x:c r="S162">
        <x:v>0</x:v>
      </x:c>
      <x:c r="T162">
        <x:v>0</x:v>
      </x:c>
      <x:c r="U162" s="10">
        <x:v>0</x:v>
      </x:c>
      <x:c r="W162" s="11" t="n">
        <x:f>Summary!$B$2</x:f>
        <x:v>0.15</x:v>
      </x:c>
      <x:c r="X162" s="11" t="n">
        <x:f>IFERROR(AD162-Summary!$B$2,"")</x:f>
        <x:v>-0.15</x:v>
      </x:c>
      <x:c r="Y162" s="10" t="str">
        <x:f>IFERROR((U162/Q162)*Summary!$B$2,"")</x:f>
      </x:c>
      <x:c r="Z162" s="12" t="n">
        <x:f>IFERROR(Q162/O162,0)</x:f>
        <x:v>0</x:v>
      </x:c>
      <x:c r="AA162" s="12" t="n">
        <x:f>IFERROR(T162/Q162,0)</x:f>
        <x:v>0</x:v>
      </x:c>
      <x:c r="AB162" s="10" t="n">
        <x:f>IFERROR(R162/Q162,0)</x:f>
        <x:v>0</x:v>
      </x:c>
      <x:c r="AC162" s="10" t="n">
        <x:f>IFERROR(U162/R162,0)</x:f>
        <x:v>0</x:v>
      </x:c>
      <x:c r="AD162" s="12" t="n">
        <x:f>IFERROR(R162/U162,0)</x:f>
        <x:v>0</x:v>
      </x:c>
      <x:c r="AE162" s="10" t="n">
        <x:f>IFERROR(U162/Q162,0)</x:f>
        <x:v>0</x:v>
      </x:c>
      <x:c r="AF162" s="10" t="n">
        <x:f>IF(Q162=0,M162,IF(U162=0,IF(Q162&gt;=10,MAX(0.02,M162*0.7),M162),IF(AD162=0,M162,MAX(0.02,IF(AD162&gt;Summary!$B$2,M162*Summary!$B$2/AD162,MIN(M162*1.2,M162*Summary!$B$2/AD162))))))</x:f>
        <x:v>1</x:v>
      </x:c>
      <x:c r="AG162" s="11" t="n">
        <x:f>IFERROR(AF162/M162-1,0)</x:f>
        <x:v>0</x:v>
      </x:c>
      <x:c r="AH162" t="str">
        <x:f>IF(Q162=0,"Need clicks",IF(AND(U162=0,Q162&gt;=10),"No sales: lower/pause",IF(AND(AD162&gt;Summary!$B$2,T162&gt;0),"Over target: reduce",IF(AND(AD162&lt;=Summary!$B$2,T162&gt;0),"At/under target: scale/hold",IF(AND(Q162&gt;0,T162=0),"Collect data","Review")))))</x:f>
        <x:v>Need clicks</x:v>
      </x:c>
      <x:c r="AI162" s="10" t="n">
        <x:f>IFERROR(IF(U162=0,R162,MAX(0,R162-(U162*Summary!$B$2))),0)</x:f>
        <x:v>0</x:v>
      </x:c>
      <x:c r="AJ162" t="str">
        <x:f>IF(AH162="No sales: lower/pause","Waste",IF(AH162="Over target: reduce","Inefficient",IF(AH162="At/under target: scale/hold","Efficient",IF(AND(O162&gt;=1000,Q162=0),"High imp/no click","Data gathering"))))</x:f>
        <x:v>Data gathering</x:v>
      </x:c>
    </x:row>
    <x:row r="163">
      <x:c r="A163" t="s">
        <x:v>22</x:v>
      </x:c>
      <x:c r="B163" t="s">
        <x:v>239</x:v>
      </x:c>
      <x:c r="C163" t="s">
        <x:v>22</x:v>
      </x:c>
      <x:c r="D163" t="s">
        <x:v>218</x:v>
      </x:c>
      <x:c r="E163" t="s">
        <x:v>219</x:v>
      </x:c>
      <x:c r="F163" t="s">
        <x:v>26</x:v>
      </x:c>
      <x:c r="G163" t="s">
        <x:v>27</x:v>
      </x:c>
      <x:c r="H163" t="s">
        <x:v>220</x:v>
      </x:c>
      <x:c r="I163">
        <x:v>2</x:v>
      </x:c>
      <x:c r="L163">
        <x:v>0</x:v>
      </x:c>
      <x:c r="M163">
        <x:v>1.01</x:v>
      </x:c>
      <x:c r="N163">
        <x:v>1.39</x:v>
      </x:c>
      <x:c r="O163">
        <x:v>32</x:v>
      </x:c>
      <x:c r="P163" s="1" t="s">
        <x:v>240</x:v>
      </x:c>
      <x:c r="Q163">
        <x:v>0</x:v>
      </x:c>
      <x:c r="R163" s="10">
        <x:v>0</x:v>
      </x:c>
      <x:c r="S163">
        <x:v>0</x:v>
      </x:c>
      <x:c r="T163">
        <x:v>0</x:v>
      </x:c>
      <x:c r="U163" s="10">
        <x:v>0</x:v>
      </x:c>
      <x:c r="W163" s="11" t="n">
        <x:f>Summary!$B$2</x:f>
        <x:v>0.15</x:v>
      </x:c>
      <x:c r="X163" s="11" t="n">
        <x:f>IFERROR(AD163-Summary!$B$2,"")</x:f>
        <x:v>-0.15</x:v>
      </x:c>
      <x:c r="Y163" s="10" t="str">
        <x:f>IFERROR((U163/Q163)*Summary!$B$2,"")</x:f>
      </x:c>
      <x:c r="Z163" s="12" t="n">
        <x:f>IFERROR(Q163/O163,0)</x:f>
        <x:v>0</x:v>
      </x:c>
      <x:c r="AA163" s="12" t="n">
        <x:f>IFERROR(T163/Q163,0)</x:f>
        <x:v>0</x:v>
      </x:c>
      <x:c r="AB163" s="10" t="n">
        <x:f>IFERROR(R163/Q163,0)</x:f>
        <x:v>0</x:v>
      </x:c>
      <x:c r="AC163" s="10" t="n">
        <x:f>IFERROR(U163/R163,0)</x:f>
        <x:v>0</x:v>
      </x:c>
      <x:c r="AD163" s="12" t="n">
        <x:f>IFERROR(R163/U163,0)</x:f>
        <x:v>0</x:v>
      </x:c>
      <x:c r="AE163" s="10" t="n">
        <x:f>IFERROR(U163/Q163,0)</x:f>
        <x:v>0</x:v>
      </x:c>
      <x:c r="AF163" s="10" t="n">
        <x:f>IF(Q163=0,M163,IF(U163=0,IF(Q163&gt;=10,MAX(0.02,M163*0.7),M163),IF(AD163=0,M163,MAX(0.02,IF(AD163&gt;Summary!$B$2,M163*Summary!$B$2/AD163,MIN(M163*1.2,M163*Summary!$B$2/AD163))))))</x:f>
        <x:v>1.01</x:v>
      </x:c>
      <x:c r="AG163" s="11" t="n">
        <x:f>IFERROR(AF163/M163-1,0)</x:f>
        <x:v>0</x:v>
      </x:c>
      <x:c r="AH163" t="str">
        <x:f>IF(Q163=0,"Need clicks",IF(AND(U163=0,Q163&gt;=10),"No sales: lower/pause",IF(AND(AD163&gt;Summary!$B$2,T163&gt;0),"Over target: reduce",IF(AND(AD163&lt;=Summary!$B$2,T163&gt;0),"At/under target: scale/hold",IF(AND(Q163&gt;0,T163=0),"Collect data","Review")))))</x:f>
        <x:v>Need clicks</x:v>
      </x:c>
      <x:c r="AI163" s="10" t="n">
        <x:f>IFERROR(IF(U163=0,R163,MAX(0,R163-(U163*Summary!$B$2))),0)</x:f>
        <x:v>0</x:v>
      </x:c>
      <x:c r="AJ163" t="str">
        <x:f>IF(AH163="No sales: lower/pause","Waste",IF(AH163="Over target: reduce","Inefficient",IF(AH163="At/under target: scale/hold","Efficient",IF(AND(O163&gt;=1000,Q163=0),"High imp/no click","Data gathering"))))</x:f>
        <x:v>Data gathering</x:v>
      </x:c>
    </x:row>
    <x:row r="164">
      <x:c r="A164" t="s">
        <x:v>22</x:v>
      </x:c>
      <x:c r="B164" t="s">
        <x:v>241</x:v>
      </x:c>
      <x:c r="C164" t="s">
        <x:v>22</x:v>
      </x:c>
      <x:c r="D164" t="s">
        <x:v>218</x:v>
      </x:c>
      <x:c r="E164" t="s">
        <x:v>219</x:v>
      </x:c>
      <x:c r="F164" t="s">
        <x:v>26</x:v>
      </x:c>
      <x:c r="G164" t="s">
        <x:v>27</x:v>
      </x:c>
      <x:c r="H164" t="s">
        <x:v>220</x:v>
      </x:c>
      <x:c r="I164">
        <x:v>2</x:v>
      </x:c>
      <x:c r="L164">
        <x:v>0</x:v>
      </x:c>
      <x:c r="M164">
        <x:v>0.94</x:v>
      </x:c>
      <x:c r="N164">
        <x:v>0.94</x:v>
      </x:c>
      <x:c r="O164">
        <x:v>4</x:v>
      </x:c>
      <x:c r="P164">
        <x:v>0</x:v>
      </x:c>
      <x:c r="Q164">
        <x:v>0</x:v>
      </x:c>
      <x:c r="R164" s="10">
        <x:v>0</x:v>
      </x:c>
      <x:c r="S164">
        <x:v>0</x:v>
      </x:c>
      <x:c r="T164">
        <x:v>0</x:v>
      </x:c>
      <x:c r="U164" s="10">
        <x:v>0</x:v>
      </x:c>
      <x:c r="W164" s="11" t="n">
        <x:f>Summary!$B$2</x:f>
        <x:v>0.15</x:v>
      </x:c>
      <x:c r="X164" s="11" t="n">
        <x:f>IFERROR(AD164-Summary!$B$2,"")</x:f>
        <x:v>-0.15</x:v>
      </x:c>
      <x:c r="Y164" s="10" t="str">
        <x:f>IFERROR((U164/Q164)*Summary!$B$2,"")</x:f>
      </x:c>
      <x:c r="Z164" s="12" t="n">
        <x:f>IFERROR(Q164/O164,0)</x:f>
        <x:v>0</x:v>
      </x:c>
      <x:c r="AA164" s="12" t="n">
        <x:f>IFERROR(T164/Q164,0)</x:f>
        <x:v>0</x:v>
      </x:c>
      <x:c r="AB164" s="10" t="n">
        <x:f>IFERROR(R164/Q164,0)</x:f>
        <x:v>0</x:v>
      </x:c>
      <x:c r="AC164" s="10" t="n">
        <x:f>IFERROR(U164/R164,0)</x:f>
        <x:v>0</x:v>
      </x:c>
      <x:c r="AD164" s="12" t="n">
        <x:f>IFERROR(R164/U164,0)</x:f>
        <x:v>0</x:v>
      </x:c>
      <x:c r="AE164" s="10" t="n">
        <x:f>IFERROR(U164/Q164,0)</x:f>
        <x:v>0</x:v>
      </x:c>
      <x:c r="AF164" s="10" t="n">
        <x:f>IF(Q164=0,M164,IF(U164=0,IF(Q164&gt;=10,MAX(0.02,M164*0.7),M164),IF(AD164=0,M164,MAX(0.02,IF(AD164&gt;Summary!$B$2,M164*Summary!$B$2/AD164,MIN(M164*1.2,M164*Summary!$B$2/AD164))))))</x:f>
        <x:v>0.94</x:v>
      </x:c>
      <x:c r="AG164" s="11" t="n">
        <x:f>IFERROR(AF164/M164-1,0)</x:f>
        <x:v>0</x:v>
      </x:c>
      <x:c r="AH164" t="str">
        <x:f>IF(Q164=0,"Need clicks",IF(AND(U164=0,Q164&gt;=10),"No sales: lower/pause",IF(AND(AD164&gt;Summary!$B$2,T164&gt;0),"Over target: reduce",IF(AND(AD164&lt;=Summary!$B$2,T164&gt;0),"At/under target: scale/hold",IF(AND(Q164&gt;0,T164=0),"Collect data","Review")))))</x:f>
        <x:v>Need clicks</x:v>
      </x:c>
      <x:c r="AI164" s="10" t="n">
        <x:f>IFERROR(IF(U164=0,R164,MAX(0,R164-(U164*Summary!$B$2))),0)</x:f>
        <x:v>0</x:v>
      </x:c>
      <x:c r="AJ164" t="str">
        <x:f>IF(AH164="No sales: lower/pause","Waste",IF(AH164="Over target: reduce","Inefficient",IF(AH164="At/under target: scale/hold","Efficient",IF(AND(O164&gt;=1000,Q164=0),"High imp/no click","Data gathering"))))</x:f>
        <x:v>Data gathering</x:v>
      </x:c>
    </x:row>
    <x:row r="165">
      <x:c r="A165" t="s">
        <x:v>22</x:v>
      </x:c>
      <x:c r="B165" t="s">
        <x:v>242</x:v>
      </x:c>
      <x:c r="C165" t="s">
        <x:v>22</x:v>
      </x:c>
      <x:c r="D165" t="s">
        <x:v>218</x:v>
      </x:c>
      <x:c r="E165" t="s">
        <x:v>219</x:v>
      </x:c>
      <x:c r="F165" t="s">
        <x:v>26</x:v>
      </x:c>
      <x:c r="G165" t="s">
        <x:v>27</x:v>
      </x:c>
      <x:c r="H165" t="s">
        <x:v>220</x:v>
      </x:c>
      <x:c r="I165">
        <x:v>2</x:v>
      </x:c>
      <x:c r="L165">
        <x:v>0</x:v>
      </x:c>
      <x:c r="M165">
        <x:v>3.04</x:v>
      </x:c>
      <x:c r="N165">
        <x:v>2</x:v>
      </x:c>
      <x:c r="O165">
        <x:v>8</x:v>
      </x:c>
      <x:c r="P165">
        <x:v>0</x:v>
      </x:c>
      <x:c r="Q165">
        <x:v>0</x:v>
      </x:c>
      <x:c r="R165" s="10">
        <x:v>0</x:v>
      </x:c>
      <x:c r="S165">
        <x:v>0</x:v>
      </x:c>
      <x:c r="T165">
        <x:v>0</x:v>
      </x:c>
      <x:c r="U165" s="10">
        <x:v>0</x:v>
      </x:c>
      <x:c r="W165" s="11" t="n">
        <x:f>Summary!$B$2</x:f>
        <x:v>0.15</x:v>
      </x:c>
      <x:c r="X165" s="11" t="n">
        <x:f>IFERROR(AD165-Summary!$B$2,"")</x:f>
        <x:v>-0.15</x:v>
      </x:c>
      <x:c r="Y165" s="10" t="str">
        <x:f>IFERROR((U165/Q165)*Summary!$B$2,"")</x:f>
      </x:c>
      <x:c r="Z165" s="12" t="n">
        <x:f>IFERROR(Q165/O165,0)</x:f>
        <x:v>0</x:v>
      </x:c>
      <x:c r="AA165" s="12" t="n">
        <x:f>IFERROR(T165/Q165,0)</x:f>
        <x:v>0</x:v>
      </x:c>
      <x:c r="AB165" s="10" t="n">
        <x:f>IFERROR(R165/Q165,0)</x:f>
        <x:v>0</x:v>
      </x:c>
      <x:c r="AC165" s="10" t="n">
        <x:f>IFERROR(U165/R165,0)</x:f>
        <x:v>0</x:v>
      </x:c>
      <x:c r="AD165" s="12" t="n">
        <x:f>IFERROR(R165/U165,0)</x:f>
        <x:v>0</x:v>
      </x:c>
      <x:c r="AE165" s="10" t="n">
        <x:f>IFERROR(U165/Q165,0)</x:f>
        <x:v>0</x:v>
      </x:c>
      <x:c r="AF165" s="10" t="n">
        <x:f>IF(Q165=0,M165,IF(U165=0,IF(Q165&gt;=10,MAX(0.02,M165*0.7),M165),IF(AD165=0,M165,MAX(0.02,IF(AD165&gt;Summary!$B$2,M165*Summary!$B$2/AD165,MIN(M165*1.2,M165*Summary!$B$2/AD165))))))</x:f>
        <x:v>3.04</x:v>
      </x:c>
      <x:c r="AG165" s="11" t="n">
        <x:f>IFERROR(AF165/M165-1,0)</x:f>
        <x:v>0</x:v>
      </x:c>
      <x:c r="AH165" t="str">
        <x:f>IF(Q165=0,"Need clicks",IF(AND(U165=0,Q165&gt;=10),"No sales: lower/pause",IF(AND(AD165&gt;Summary!$B$2,T165&gt;0),"Over target: reduce",IF(AND(AD165&lt;=Summary!$B$2,T165&gt;0),"At/under target: scale/hold",IF(AND(Q165&gt;0,T165=0),"Collect data","Review")))))</x:f>
        <x:v>Need clicks</x:v>
      </x:c>
      <x:c r="AI165" s="10" t="n">
        <x:f>IFERROR(IF(U165=0,R165,MAX(0,R165-(U165*Summary!$B$2))),0)</x:f>
        <x:v>0</x:v>
      </x:c>
      <x:c r="AJ165" t="str">
        <x:f>IF(AH165="No sales: lower/pause","Waste",IF(AH165="Over target: reduce","Inefficient",IF(AH165="At/under target: scale/hold","Efficient",IF(AND(O165&gt;=1000,Q165=0),"High imp/no click","Data gathering"))))</x:f>
        <x:v>Data gathering</x:v>
      </x:c>
    </x:row>
    <x:row r="166">
      <x:c r="A166" t="s">
        <x:v>22</x:v>
      </x:c>
      <x:c r="B166" t="s">
        <x:v>243</x:v>
      </x:c>
      <x:c r="C166" t="s">
        <x:v>22</x:v>
      </x:c>
      <x:c r="D166" t="s">
        <x:v>218</x:v>
      </x:c>
      <x:c r="E166" t="s">
        <x:v>219</x:v>
      </x:c>
      <x:c r="F166" t="s">
        <x:v>26</x:v>
      </x:c>
      <x:c r="G166" t="s">
        <x:v>27</x:v>
      </x:c>
      <x:c r="H166" t="s">
        <x:v>220</x:v>
      </x:c>
      <x:c r="I166">
        <x:v>2</x:v>
      </x:c>
      <x:c r="L166">
        <x:v>0</x:v>
      </x:c>
      <x:c r="M166">
        <x:v>1.64</x:v>
      </x:c>
      <x:c r="N166">
        <x:v>2.84</x:v>
      </x:c>
      <x:c r="O166">
        <x:v>28</x:v>
      </x:c>
      <x:c r="P166">
        <x:v>0</x:v>
      </x:c>
      <x:c r="Q166">
        <x:v>0</x:v>
      </x:c>
      <x:c r="R166" s="10">
        <x:v>0</x:v>
      </x:c>
      <x:c r="S166">
        <x:v>0</x:v>
      </x:c>
      <x:c r="T166">
        <x:v>0</x:v>
      </x:c>
      <x:c r="U166" s="10">
        <x:v>0</x:v>
      </x:c>
      <x:c r="W166" s="11" t="n">
        <x:f>Summary!$B$2</x:f>
        <x:v>0.15</x:v>
      </x:c>
      <x:c r="X166" s="11" t="n">
        <x:f>IFERROR(AD166-Summary!$B$2,"")</x:f>
        <x:v>-0.15</x:v>
      </x:c>
      <x:c r="Y166" s="10" t="str">
        <x:f>IFERROR((U166/Q166)*Summary!$B$2,"")</x:f>
      </x:c>
      <x:c r="Z166" s="12" t="n">
        <x:f>IFERROR(Q166/O166,0)</x:f>
        <x:v>0</x:v>
      </x:c>
      <x:c r="AA166" s="12" t="n">
        <x:f>IFERROR(T166/Q166,0)</x:f>
        <x:v>0</x:v>
      </x:c>
      <x:c r="AB166" s="10" t="n">
        <x:f>IFERROR(R166/Q166,0)</x:f>
        <x:v>0</x:v>
      </x:c>
      <x:c r="AC166" s="10" t="n">
        <x:f>IFERROR(U166/R166,0)</x:f>
        <x:v>0</x:v>
      </x:c>
      <x:c r="AD166" s="12" t="n">
        <x:f>IFERROR(R166/U166,0)</x:f>
        <x:v>0</x:v>
      </x:c>
      <x:c r="AE166" s="10" t="n">
        <x:f>IFERROR(U166/Q166,0)</x:f>
        <x:v>0</x:v>
      </x:c>
      <x:c r="AF166" s="10" t="n">
        <x:f>IF(Q166=0,M166,IF(U166=0,IF(Q166&gt;=10,MAX(0.02,M166*0.7),M166),IF(AD166=0,M166,MAX(0.02,IF(AD166&gt;Summary!$B$2,M166*Summary!$B$2/AD166,MIN(M166*1.2,M166*Summary!$B$2/AD166))))))</x:f>
        <x:v>1.64</x:v>
      </x:c>
      <x:c r="AG166" s="11" t="n">
        <x:f>IFERROR(AF166/M166-1,0)</x:f>
        <x:v>0</x:v>
      </x:c>
      <x:c r="AH166" t="str">
        <x:f>IF(Q166=0,"Need clicks",IF(AND(U166=0,Q166&gt;=10),"No sales: lower/pause",IF(AND(AD166&gt;Summary!$B$2,T166&gt;0),"Over target: reduce",IF(AND(AD166&lt;=Summary!$B$2,T166&gt;0),"At/under target: scale/hold",IF(AND(Q166&gt;0,T166=0),"Collect data","Review")))))</x:f>
        <x:v>Need clicks</x:v>
      </x:c>
      <x:c r="AI166" s="10" t="n">
        <x:f>IFERROR(IF(U166=0,R166,MAX(0,R166-(U166*Summary!$B$2))),0)</x:f>
        <x:v>0</x:v>
      </x:c>
      <x:c r="AJ166" t="str">
        <x:f>IF(AH166="No sales: lower/pause","Waste",IF(AH166="Over target: reduce","Inefficient",IF(AH166="At/under target: scale/hold","Efficient",IF(AND(O166&gt;=1000,Q166=0),"High imp/no click","Data gathering"))))</x:f>
        <x:v>Data gathering</x:v>
      </x:c>
    </x:row>
    <x:row r="167">
      <x:c r="A167" t="s">
        <x:v>22</x:v>
      </x:c>
      <x:c r="B167" t="s">
        <x:v>220</x:v>
      </x:c>
      <x:c r="C167" t="s">
        <x:v>22</x:v>
      </x:c>
      <x:c r="D167" t="s">
        <x:v>39</x:v>
      </x:c>
      <x:c r="E167" t="s">
        <x:v>219</x:v>
      </x:c>
      <x:c r="F167" t="s">
        <x:v>26</x:v>
      </x:c>
      <x:c r="G167" t="s">
        <x:v>27</x:v>
      </x:c>
      <x:c r="H167" t="s">
        <x:v>220</x:v>
      </x:c>
      <x:c r="I167">
        <x:v>2</x:v>
      </x:c>
      <x:c r="L167">
        <x:v>0</x:v>
      </x:c>
      <x:c r="M167">
        <x:v>3.36</x:v>
      </x:c>
      <x:c r="N167">
        <x:v>2.87</x:v>
      </x:c>
      <x:c r="O167">
        <x:v>106</x:v>
      </x:c>
      <x:c r="P167" s="1" t="s">
        <x:v>244</x:v>
      </x:c>
      <x:c r="Q167">
        <x:v>0</x:v>
      </x:c>
      <x:c r="R167" s="10">
        <x:v>0</x:v>
      </x:c>
      <x:c r="S167">
        <x:v>0</x:v>
      </x:c>
      <x:c r="T167">
        <x:v>0</x:v>
      </x:c>
      <x:c r="U167" s="10">
        <x:v>0</x:v>
      </x:c>
      <x:c r="W167" s="11" t="n">
        <x:f>Summary!$B$2</x:f>
        <x:v>0.15</x:v>
      </x:c>
      <x:c r="X167" s="11" t="n">
        <x:f>IFERROR(AD167-Summary!$B$2,"")</x:f>
        <x:v>-0.15</x:v>
      </x:c>
      <x:c r="Y167" s="10" t="str">
        <x:f>IFERROR((U167/Q167)*Summary!$B$2,"")</x:f>
      </x:c>
      <x:c r="Z167" s="12" t="n">
        <x:f>IFERROR(Q167/O167,0)</x:f>
        <x:v>0</x:v>
      </x:c>
      <x:c r="AA167" s="12" t="n">
        <x:f>IFERROR(T167/Q167,0)</x:f>
        <x:v>0</x:v>
      </x:c>
      <x:c r="AB167" s="10" t="n">
        <x:f>IFERROR(R167/Q167,0)</x:f>
        <x:v>0</x:v>
      </x:c>
      <x:c r="AC167" s="10" t="n">
        <x:f>IFERROR(U167/R167,0)</x:f>
        <x:v>0</x:v>
      </x:c>
      <x:c r="AD167" s="12" t="n">
        <x:f>IFERROR(R167/U167,0)</x:f>
        <x:v>0</x:v>
      </x:c>
      <x:c r="AE167" s="10" t="n">
        <x:f>IFERROR(U167/Q167,0)</x:f>
        <x:v>0</x:v>
      </x:c>
      <x:c r="AF167" s="10" t="n">
        <x:f>IF(Q167=0,M167,IF(U167=0,IF(Q167&gt;=10,MAX(0.02,M167*0.7),M167),IF(AD167=0,M167,MAX(0.02,IF(AD167&gt;Summary!$B$2,M167*Summary!$B$2/AD167,MIN(M167*1.2,M167*Summary!$B$2/AD167))))))</x:f>
        <x:v>3.36</x:v>
      </x:c>
      <x:c r="AG167" s="11" t="n">
        <x:f>IFERROR(AF167/M167-1,0)</x:f>
        <x:v>0</x:v>
      </x:c>
      <x:c r="AH167" t="str">
        <x:f>IF(Q167=0,"Need clicks",IF(AND(U167=0,Q167&gt;=10),"No sales: lower/pause",IF(AND(AD167&gt;Summary!$B$2,T167&gt;0),"Over target: reduce",IF(AND(AD167&lt;=Summary!$B$2,T167&gt;0),"At/under target: scale/hold",IF(AND(Q167&gt;0,T167=0),"Collect data","Review")))))</x:f>
        <x:v>Need clicks</x:v>
      </x:c>
      <x:c r="AI167" s="10" t="n">
        <x:f>IFERROR(IF(U167=0,R167,MAX(0,R167-(U167*Summary!$B$2))),0)</x:f>
        <x:v>0</x:v>
      </x:c>
      <x:c r="AJ167" t="str">
        <x:f>IF(AH167="No sales: lower/pause","Waste",IF(AH167="Over target: reduce","Inefficient",IF(AH167="At/under target: scale/hold","Efficient",IF(AND(O167&gt;=1000,Q167=0),"High imp/no click","Data gathering"))))</x:f>
        <x:v>Data gathering</x:v>
      </x:c>
    </x:row>
    <x:row r="168">
      <x:c r="A168" t="s">
        <x:v>22</x:v>
      </x:c>
      <x:c r="B168" t="s">
        <x:v>245</x:v>
      </x:c>
      <x:c r="C168" t="s">
        <x:v>22</x:v>
      </x:c>
      <x:c r="D168" t="s">
        <x:v>246</x:v>
      </x:c>
      <x:c r="E168" t="s">
        <x:v>219</x:v>
      </x:c>
      <x:c r="F168" t="s">
        <x:v>26</x:v>
      </x:c>
      <x:c r="G168" t="s">
        <x:v>27</x:v>
      </x:c>
      <x:c r="H168" t="s">
        <x:v>220</x:v>
      </x:c>
      <x:c r="I168">
        <x:v>2</x:v>
      </x:c>
      <x:c r="L168">
        <x:v>0</x:v>
      </x:c>
      <x:c r="M168">
        <x:v>0.75</x:v>
      </x:c>
      <x:c r="O168">
        <x:v>16</x:v>
      </x:c>
      <x:c r="P168" s="1" t="s">
        <x:v>247</x:v>
      </x:c>
      <x:c r="Q168">
        <x:v>0</x:v>
      </x:c>
      <x:c r="R168" s="10">
        <x:v>0</x:v>
      </x:c>
      <x:c r="S168">
        <x:v>0</x:v>
      </x:c>
      <x:c r="T168">
        <x:v>0</x:v>
      </x:c>
      <x:c r="U168" s="10">
        <x:v>0</x:v>
      </x:c>
      <x:c r="W168" s="11" t="n">
        <x:f>Summary!$B$2</x:f>
        <x:v>0.15</x:v>
      </x:c>
      <x:c r="X168" s="11" t="n">
        <x:f>IFERROR(AD168-Summary!$B$2,"")</x:f>
        <x:v>-0.15</x:v>
      </x:c>
      <x:c r="Y168" s="10" t="str">
        <x:f>IFERROR((U168/Q168)*Summary!$B$2,"")</x:f>
      </x:c>
      <x:c r="Z168" s="12" t="n">
        <x:f>IFERROR(Q168/O168,0)</x:f>
        <x:v>0</x:v>
      </x:c>
      <x:c r="AA168" s="12" t="n">
        <x:f>IFERROR(T168/Q168,0)</x:f>
        <x:v>0</x:v>
      </x:c>
      <x:c r="AB168" s="10" t="n">
        <x:f>IFERROR(R168/Q168,0)</x:f>
        <x:v>0</x:v>
      </x:c>
      <x:c r="AC168" s="10" t="n">
        <x:f>IFERROR(U168/R168,0)</x:f>
        <x:v>0</x:v>
      </x:c>
      <x:c r="AD168" s="12" t="n">
        <x:f>IFERROR(R168/U168,0)</x:f>
        <x:v>0</x:v>
      </x:c>
      <x:c r="AE168" s="10" t="n">
        <x:f>IFERROR(U168/Q168,0)</x:f>
        <x:v>0</x:v>
      </x:c>
      <x:c r="AF168" s="10" t="n">
        <x:f>IF(Q168=0,M168,IF(U168=0,IF(Q168&gt;=10,MAX(0.02,M168*0.7),M168),IF(AD168=0,M168,MAX(0.02,IF(AD168&gt;Summary!$B$2,M168*Summary!$B$2/AD168,MIN(M168*1.2,M168*Summary!$B$2/AD168))))))</x:f>
        <x:v>0.75</x:v>
      </x:c>
      <x:c r="AG168" s="11" t="n">
        <x:f>IFERROR(AF168/M168-1,0)</x:f>
        <x:v>0</x:v>
      </x:c>
      <x:c r="AH168" t="str">
        <x:f>IF(Q168=0,"Need clicks",IF(AND(U168=0,Q168&gt;=10),"No sales: lower/pause",IF(AND(AD168&gt;Summary!$B$2,T168&gt;0),"Over target: reduce",IF(AND(AD168&lt;=Summary!$B$2,T168&gt;0),"At/under target: scale/hold",IF(AND(Q168&gt;0,T168=0),"Collect data","Review")))))</x:f>
        <x:v>Need clicks</x:v>
      </x:c>
      <x:c r="AI168" s="10" t="n">
        <x:f>IFERROR(IF(U168=0,R168,MAX(0,R168-(U168*Summary!$B$2))),0)</x:f>
        <x:v>0</x:v>
      </x:c>
      <x:c r="AJ168" t="str">
        <x:f>IF(AH168="No sales: lower/pause","Waste",IF(AH168="Over target: reduce","Inefficient",IF(AH168="At/under target: scale/hold","Efficient",IF(AND(O168&gt;=1000,Q168=0),"High imp/no click","Data gathering"))))</x:f>
        <x:v>Data gathering</x:v>
      </x:c>
    </x:row>
    <x:row r="169">
      <x:c r="A169" t="s">
        <x:v>22</x:v>
      </x:c>
      <x:c r="B169" t="s">
        <x:v>248</x:v>
      </x:c>
      <x:c r="C169" t="s">
        <x:v>22</x:v>
      </x:c>
      <x:c r="D169" t="s">
        <x:v>218</x:v>
      </x:c>
      <x:c r="E169" t="s">
        <x:v>219</x:v>
      </x:c>
      <x:c r="F169" t="s">
        <x:v>26</x:v>
      </x:c>
      <x:c r="G169" t="s">
        <x:v>27</x:v>
      </x:c>
      <x:c r="H169" t="s">
        <x:v>249</x:v>
      </x:c>
      <x:c r="I169">
        <x:v>22</x:v>
      </x:c>
      <x:c r="L169">
        <x:v>0</x:v>
      </x:c>
      <x:c r="M169">
        <x:v>1.73</x:v>
      </x:c>
      <x:c r="N169">
        <x:v>1.75</x:v>
      </x:c>
      <x:c r="O169">
        <x:v>125</x:v>
      </x:c>
      <x:c r="P169" s="1" t="s">
        <x:v>250</x:v>
      </x:c>
      <x:c r="Q169">
        <x:v>0</x:v>
      </x:c>
      <x:c r="R169" s="10">
        <x:v>0</x:v>
      </x:c>
      <x:c r="S169">
        <x:v>0</x:v>
      </x:c>
      <x:c r="T169">
        <x:v>0</x:v>
      </x:c>
      <x:c r="U169" s="10">
        <x:v>0</x:v>
      </x:c>
      <x:c r="W169" s="11" t="n">
        <x:f>Summary!$B$2</x:f>
        <x:v>0.15</x:v>
      </x:c>
      <x:c r="X169" s="11" t="n">
        <x:f>IFERROR(AD169-Summary!$B$2,"")</x:f>
        <x:v>-0.15</x:v>
      </x:c>
      <x:c r="Y169" s="10" t="str">
        <x:f>IFERROR((U169/Q169)*Summary!$B$2,"")</x:f>
      </x:c>
      <x:c r="Z169" s="12" t="n">
        <x:f>IFERROR(Q169/O169,0)</x:f>
        <x:v>0</x:v>
      </x:c>
      <x:c r="AA169" s="12" t="n">
        <x:f>IFERROR(T169/Q169,0)</x:f>
        <x:v>0</x:v>
      </x:c>
      <x:c r="AB169" s="10" t="n">
        <x:f>IFERROR(R169/Q169,0)</x:f>
        <x:v>0</x:v>
      </x:c>
      <x:c r="AC169" s="10" t="n">
        <x:f>IFERROR(U169/R169,0)</x:f>
        <x:v>0</x:v>
      </x:c>
      <x:c r="AD169" s="12" t="n">
        <x:f>IFERROR(R169/U169,0)</x:f>
        <x:v>0</x:v>
      </x:c>
      <x:c r="AE169" s="10" t="n">
        <x:f>IFERROR(U169/Q169,0)</x:f>
        <x:v>0</x:v>
      </x:c>
      <x:c r="AF169" s="10" t="n">
        <x:f>IF(Q169=0,M169,IF(U169=0,IF(Q169&gt;=10,MAX(0.02,M169*0.7),M169),IF(AD169=0,M169,MAX(0.02,IF(AD169&gt;Summary!$B$2,M169*Summary!$B$2/AD169,MIN(M169*1.2,M169*Summary!$B$2/AD169))))))</x:f>
        <x:v>1.73</x:v>
      </x:c>
      <x:c r="AG169" s="11" t="n">
        <x:f>IFERROR(AF169/M169-1,0)</x:f>
        <x:v>0</x:v>
      </x:c>
      <x:c r="AH169" t="str">
        <x:f>IF(Q169=0,"Need clicks",IF(AND(U169=0,Q169&gt;=10),"No sales: lower/pause",IF(AND(AD169&gt;Summary!$B$2,T169&gt;0),"Over target: reduce",IF(AND(AD169&lt;=Summary!$B$2,T169&gt;0),"At/under target: scale/hold",IF(AND(Q169&gt;0,T169=0),"Collect data","Review")))))</x:f>
        <x:v>Need clicks</x:v>
      </x:c>
      <x:c r="AI169" s="10" t="n">
        <x:f>IFERROR(IF(U169=0,R169,MAX(0,R169-(U169*Summary!$B$2))),0)</x:f>
        <x:v>0</x:v>
      </x:c>
      <x:c r="AJ169" t="str">
        <x:f>IF(AH169="No sales: lower/pause","Waste",IF(AH169="Over target: reduce","Inefficient",IF(AH169="At/under target: scale/hold","Efficient",IF(AND(O169&gt;=1000,Q169=0),"High imp/no click","Data gathering"))))</x:f>
        <x:v>Data gathering</x:v>
      </x:c>
    </x:row>
    <x:row r="170">
      <x:c r="A170" t="s">
        <x:v>22</x:v>
      </x:c>
      <x:c r="B170" t="s">
        <x:v>111</x:v>
      </x:c>
      <x:c r="C170" t="s">
        <x:v>22</x:v>
      </x:c>
      <x:c r="D170" t="s">
        <x:v>39</x:v>
      </x:c>
      <x:c r="E170" t="s">
        <x:v>219</x:v>
      </x:c>
      <x:c r="F170" t="s">
        <x:v>26</x:v>
      </x:c>
      <x:c r="G170" t="s">
        <x:v>27</x:v>
      </x:c>
      <x:c r="H170" t="s">
        <x:v>249</x:v>
      </x:c>
      <x:c r="I170">
        <x:v>22</x:v>
      </x:c>
      <x:c r="L170">
        <x:v>0</x:v>
      </x:c>
      <x:c r="M170">
        <x:v>0.98</x:v>
      </x:c>
      <x:c r="N170">
        <x:v>1.79</x:v>
      </x:c>
      <x:c r="O170">
        <x:v>463</x:v>
      </x:c>
      <x:c r="P170">
        <x:v>0</x:v>
      </x:c>
      <x:c r="Q170">
        <x:v>0</x:v>
      </x:c>
      <x:c r="R170" s="10">
        <x:v>0</x:v>
      </x:c>
      <x:c r="S170">
        <x:v>0</x:v>
      </x:c>
      <x:c r="T170">
        <x:v>0</x:v>
      </x:c>
      <x:c r="U170" s="10">
        <x:v>0</x:v>
      </x:c>
      <x:c r="W170" s="11" t="n">
        <x:f>Summary!$B$2</x:f>
        <x:v>0.15</x:v>
      </x:c>
      <x:c r="X170" s="11" t="n">
        <x:f>IFERROR(AD170-Summary!$B$2,"")</x:f>
        <x:v>-0.15</x:v>
      </x:c>
      <x:c r="Y170" s="10" t="str">
        <x:f>IFERROR((U170/Q170)*Summary!$B$2,"")</x:f>
      </x:c>
      <x:c r="Z170" s="12" t="n">
        <x:f>IFERROR(Q170/O170,0)</x:f>
        <x:v>0</x:v>
      </x:c>
      <x:c r="AA170" s="12" t="n">
        <x:f>IFERROR(T170/Q170,0)</x:f>
        <x:v>0</x:v>
      </x:c>
      <x:c r="AB170" s="10" t="n">
        <x:f>IFERROR(R170/Q170,0)</x:f>
        <x:v>0</x:v>
      </x:c>
      <x:c r="AC170" s="10" t="n">
        <x:f>IFERROR(U170/R170,0)</x:f>
        <x:v>0</x:v>
      </x:c>
      <x:c r="AD170" s="12" t="n">
        <x:f>IFERROR(R170/U170,0)</x:f>
        <x:v>0</x:v>
      </x:c>
      <x:c r="AE170" s="10" t="n">
        <x:f>IFERROR(U170/Q170,0)</x:f>
        <x:v>0</x:v>
      </x:c>
      <x:c r="AF170" s="10" t="n">
        <x:f>IF(Q170=0,M170,IF(U170=0,IF(Q170&gt;=10,MAX(0.02,M170*0.7),M170),IF(AD170=0,M170,MAX(0.02,IF(AD170&gt;Summary!$B$2,M170*Summary!$B$2/AD170,MIN(M170*1.2,M170*Summary!$B$2/AD170))))))</x:f>
        <x:v>0.98</x:v>
      </x:c>
      <x:c r="AG170" s="11" t="n">
        <x:f>IFERROR(AF170/M170-1,0)</x:f>
        <x:v>0</x:v>
      </x:c>
      <x:c r="AH170" t="str">
        <x:f>IF(Q170=0,"Need clicks",IF(AND(U170=0,Q170&gt;=10),"No sales: lower/pause",IF(AND(AD170&gt;Summary!$B$2,T170&gt;0),"Over target: reduce",IF(AND(AD170&lt;=Summary!$B$2,T170&gt;0),"At/under target: scale/hold",IF(AND(Q170&gt;0,T170=0),"Collect data","Review")))))</x:f>
        <x:v>Need clicks</x:v>
      </x:c>
      <x:c r="AI170" s="10" t="n">
        <x:f>IFERROR(IF(U170=0,R170,MAX(0,R170-(U170*Summary!$B$2))),0)</x:f>
        <x:v>0</x:v>
      </x:c>
      <x:c r="AJ170" t="str">
        <x:f>IF(AH170="No sales: lower/pause","Waste",IF(AH170="Over target: reduce","Inefficient",IF(AH170="At/under target: scale/hold","Efficient",IF(AND(O170&gt;=1000,Q170=0),"High imp/no click","Data gathering"))))</x:f>
        <x:v>Data gathering</x:v>
      </x:c>
    </x:row>
    <x:row r="171">
      <x:c r="A171" t="s">
        <x:v>22</x:v>
      </x:c>
      <x:c r="B171" t="s">
        <x:v>251</x:v>
      </x:c>
      <x:c r="C171" t="s">
        <x:v>22</x:v>
      </x:c>
      <x:c r="D171" t="s">
        <x:v>218</x:v>
      </x:c>
      <x:c r="E171" t="s">
        <x:v>219</x:v>
      </x:c>
      <x:c r="F171" t="s">
        <x:v>26</x:v>
      </x:c>
      <x:c r="G171" t="s">
        <x:v>27</x:v>
      </x:c>
      <x:c r="H171" t="s">
        <x:v>249</x:v>
      </x:c>
      <x:c r="I171">
        <x:v>22</x:v>
      </x:c>
      <x:c r="L171">
        <x:v>0</x:v>
      </x:c>
      <x:c r="M171">
        <x:v>1.67</x:v>
      </x:c>
      <x:c r="N171">
        <x:v>1.92</x:v>
      </x:c>
      <x:c r="O171">
        <x:v>4858</x:v>
      </x:c>
      <x:c r="P171">
        <x:v>2.1588123992025001E-2</x:v>
      </x:c>
      <x:c r="Q171">
        <x:v>0</x:v>
      </x:c>
      <x:c r="R171" s="10">
        <x:v>0</x:v>
      </x:c>
      <x:c r="S171">
        <x:v>0</x:v>
      </x:c>
      <x:c r="T171">
        <x:v>0</x:v>
      </x:c>
      <x:c r="U171" s="10">
        <x:v>0</x:v>
      </x:c>
      <x:c r="W171" s="11" t="n">
        <x:f>Summary!$B$2</x:f>
        <x:v>0.15</x:v>
      </x:c>
      <x:c r="X171" s="11" t="n">
        <x:f>IFERROR(AD171-Summary!$B$2,"")</x:f>
        <x:v>-0.15</x:v>
      </x:c>
      <x:c r="Y171" s="10" t="str">
        <x:f>IFERROR((U171/Q171)*Summary!$B$2,"")</x:f>
      </x:c>
      <x:c r="Z171" s="12" t="n">
        <x:f>IFERROR(Q171/O171,0)</x:f>
        <x:v>0</x:v>
      </x:c>
      <x:c r="AA171" s="12" t="n">
        <x:f>IFERROR(T171/Q171,0)</x:f>
        <x:v>0</x:v>
      </x:c>
      <x:c r="AB171" s="10" t="n">
        <x:f>IFERROR(R171/Q171,0)</x:f>
        <x:v>0</x:v>
      </x:c>
      <x:c r="AC171" s="10" t="n">
        <x:f>IFERROR(U171/R171,0)</x:f>
        <x:v>0</x:v>
      </x:c>
      <x:c r="AD171" s="12" t="n">
        <x:f>IFERROR(R171/U171,0)</x:f>
        <x:v>0</x:v>
      </x:c>
      <x:c r="AE171" s="10" t="n">
        <x:f>IFERROR(U171/Q171,0)</x:f>
        <x:v>0</x:v>
      </x:c>
      <x:c r="AF171" s="10" t="n">
        <x:f>IF(Q171=0,M171,IF(U171=0,IF(Q171&gt;=10,MAX(0.02,M171*0.7),M171),IF(AD171=0,M171,MAX(0.02,IF(AD171&gt;Summary!$B$2,M171*Summary!$B$2/AD171,MIN(M171*1.2,M171*Summary!$B$2/AD171))))))</x:f>
        <x:v>1.67</x:v>
      </x:c>
      <x:c r="AG171" s="11" t="n">
        <x:f>IFERROR(AF171/M171-1,0)</x:f>
        <x:v>0</x:v>
      </x:c>
      <x:c r="AH171" t="str">
        <x:f>IF(Q171=0,"Need clicks",IF(AND(U171=0,Q171&gt;=10),"No sales: lower/pause",IF(AND(AD171&gt;Summary!$B$2,T171&gt;0),"Over target: reduce",IF(AND(AD171&lt;=Summary!$B$2,T171&gt;0),"At/under target: scale/hold",IF(AND(Q171&gt;0,T171=0),"Collect data","Review")))))</x:f>
        <x:v>Need clicks</x:v>
      </x:c>
      <x:c r="AI171" s="10" t="n">
        <x:f>IFERROR(IF(U171=0,R171,MAX(0,R171-(U171*Summary!$B$2))),0)</x:f>
        <x:v>0</x:v>
      </x:c>
      <x:c r="AJ171" t="str">
        <x:f>IF(AH171="No sales: lower/pause","Waste",IF(AH171="Over target: reduce","Inefficient",IF(AH171="At/under target: scale/hold","Efficient",IF(AND(O171&gt;=1000,Q171=0),"High imp/no click","Data gathering"))))</x:f>
        <x:v>High imp/no click</x:v>
      </x:c>
    </x:row>
    <x:row r="172">
      <x:c r="A172" t="s">
        <x:v>22</x:v>
      </x:c>
      <x:c r="B172" t="s">
        <x:v>252</x:v>
      </x:c>
      <x:c r="C172" t="s">
        <x:v>22</x:v>
      </x:c>
      <x:c r="D172" t="s">
        <x:v>218</x:v>
      </x:c>
      <x:c r="E172" t="s">
        <x:v>219</x:v>
      </x:c>
      <x:c r="F172" t="s">
        <x:v>26</x:v>
      </x:c>
      <x:c r="G172" t="s">
        <x:v>27</x:v>
      </x:c>
      <x:c r="H172" t="s">
        <x:v>249</x:v>
      </x:c>
      <x:c r="I172">
        <x:v>22</x:v>
      </x:c>
      <x:c r="L172">
        <x:v>0</x:v>
      </x:c>
      <x:c r="M172">
        <x:v>0.75</x:v>
      </x:c>
      <x:c r="N172">
        <x:v>2.09</x:v>
      </x:c>
      <x:c r="O172">
        <x:v>13</x:v>
      </x:c>
      <x:c r="P172">
        <x:v>0</x:v>
      </x:c>
      <x:c r="Q172">
        <x:v>0</x:v>
      </x:c>
      <x:c r="R172" s="10">
        <x:v>0</x:v>
      </x:c>
      <x:c r="S172">
        <x:v>0</x:v>
      </x:c>
      <x:c r="T172">
        <x:v>0</x:v>
      </x:c>
      <x:c r="U172" s="10">
        <x:v>0</x:v>
      </x:c>
      <x:c r="W172" s="11" t="n">
        <x:f>Summary!$B$2</x:f>
        <x:v>0.15</x:v>
      </x:c>
      <x:c r="X172" s="11" t="n">
        <x:f>IFERROR(AD172-Summary!$B$2,"")</x:f>
        <x:v>-0.15</x:v>
      </x:c>
      <x:c r="Y172" s="10" t="str">
        <x:f>IFERROR((U172/Q172)*Summary!$B$2,"")</x:f>
      </x:c>
      <x:c r="Z172" s="12" t="n">
        <x:f>IFERROR(Q172/O172,0)</x:f>
        <x:v>0</x:v>
      </x:c>
      <x:c r="AA172" s="12" t="n">
        <x:f>IFERROR(T172/Q172,0)</x:f>
        <x:v>0</x:v>
      </x:c>
      <x:c r="AB172" s="10" t="n">
        <x:f>IFERROR(R172/Q172,0)</x:f>
        <x:v>0</x:v>
      </x:c>
      <x:c r="AC172" s="10" t="n">
        <x:f>IFERROR(U172/R172,0)</x:f>
        <x:v>0</x:v>
      </x:c>
      <x:c r="AD172" s="12" t="n">
        <x:f>IFERROR(R172/U172,0)</x:f>
        <x:v>0</x:v>
      </x:c>
      <x:c r="AE172" s="10" t="n">
        <x:f>IFERROR(U172/Q172,0)</x:f>
        <x:v>0</x:v>
      </x:c>
      <x:c r="AF172" s="10" t="n">
        <x:f>IF(Q172=0,M172,IF(U172=0,IF(Q172&gt;=10,MAX(0.02,M172*0.7),M172),IF(AD172=0,M172,MAX(0.02,IF(AD172&gt;Summary!$B$2,M172*Summary!$B$2/AD172,MIN(M172*1.2,M172*Summary!$B$2/AD172))))))</x:f>
        <x:v>0.75</x:v>
      </x:c>
      <x:c r="AG172" s="11" t="n">
        <x:f>IFERROR(AF172/M172-1,0)</x:f>
        <x:v>0</x:v>
      </x:c>
      <x:c r="AH172" t="str">
        <x:f>IF(Q172=0,"Need clicks",IF(AND(U172=0,Q172&gt;=10),"No sales: lower/pause",IF(AND(AD172&gt;Summary!$B$2,T172&gt;0),"Over target: reduce",IF(AND(AD172&lt;=Summary!$B$2,T172&gt;0),"At/under target: scale/hold",IF(AND(Q172&gt;0,T172=0),"Collect data","Review")))))</x:f>
        <x:v>Need clicks</x:v>
      </x:c>
      <x:c r="AI172" s="10" t="n">
        <x:f>IFERROR(IF(U172=0,R172,MAX(0,R172-(U172*Summary!$B$2))),0)</x:f>
        <x:v>0</x:v>
      </x:c>
      <x:c r="AJ172" t="str">
        <x:f>IF(AH172="No sales: lower/pause","Waste",IF(AH172="Over target: reduce","Inefficient",IF(AH172="At/under target: scale/hold","Efficient",IF(AND(O172&gt;=1000,Q172=0),"High imp/no click","Data gathering"))))</x:f>
        <x:v>Data gathering</x:v>
      </x:c>
    </x:row>
    <x:row r="173">
      <x:c r="A173" t="s">
        <x:v>22</x:v>
      </x:c>
      <x:c r="B173" t="s">
        <x:v>253</x:v>
      </x:c>
      <x:c r="C173" t="s">
        <x:v>22</x:v>
      </x:c>
      <x:c r="D173" t="s">
        <x:v>218</x:v>
      </x:c>
      <x:c r="E173" t="s">
        <x:v>219</x:v>
      </x:c>
      <x:c r="F173" t="s">
        <x:v>26</x:v>
      </x:c>
      <x:c r="G173" t="s">
        <x:v>27</x:v>
      </x:c>
      <x:c r="H173" t="s">
        <x:v>249</x:v>
      </x:c>
      <x:c r="I173">
        <x:v>22</x:v>
      </x:c>
      <x:c r="L173">
        <x:v>0</x:v>
      </x:c>
      <x:c r="M173">
        <x:v>0.75</x:v>
      </x:c>
      <x:c r="N173">
        <x:v>1.29</x:v>
      </x:c>
      <x:c r="O173">
        <x:v>1</x:v>
      </x:c>
      <x:c r="P173">
        <x:v>0</x:v>
      </x:c>
      <x:c r="Q173">
        <x:v>0</x:v>
      </x:c>
      <x:c r="R173" s="10">
        <x:v>0</x:v>
      </x:c>
      <x:c r="S173">
        <x:v>0</x:v>
      </x:c>
      <x:c r="T173">
        <x:v>0</x:v>
      </x:c>
      <x:c r="U173" s="10">
        <x:v>0</x:v>
      </x:c>
      <x:c r="W173" s="11" t="n">
        <x:f>Summary!$B$2</x:f>
        <x:v>0.15</x:v>
      </x:c>
      <x:c r="X173" s="11" t="n">
        <x:f>IFERROR(AD173-Summary!$B$2,"")</x:f>
        <x:v>-0.15</x:v>
      </x:c>
      <x:c r="Y173" s="10" t="str">
        <x:f>IFERROR((U173/Q173)*Summary!$B$2,"")</x:f>
      </x:c>
      <x:c r="Z173" s="12" t="n">
        <x:f>IFERROR(Q173/O173,0)</x:f>
        <x:v>0</x:v>
      </x:c>
      <x:c r="AA173" s="12" t="n">
        <x:f>IFERROR(T173/Q173,0)</x:f>
        <x:v>0</x:v>
      </x:c>
      <x:c r="AB173" s="10" t="n">
        <x:f>IFERROR(R173/Q173,0)</x:f>
        <x:v>0</x:v>
      </x:c>
      <x:c r="AC173" s="10" t="n">
        <x:f>IFERROR(U173/R173,0)</x:f>
        <x:v>0</x:v>
      </x:c>
      <x:c r="AD173" s="12" t="n">
        <x:f>IFERROR(R173/U173,0)</x:f>
        <x:v>0</x:v>
      </x:c>
      <x:c r="AE173" s="10" t="n">
        <x:f>IFERROR(U173/Q173,0)</x:f>
        <x:v>0</x:v>
      </x:c>
      <x:c r="AF173" s="10" t="n">
        <x:f>IF(Q173=0,M173,IF(U173=0,IF(Q173&gt;=10,MAX(0.02,M173*0.7),M173),IF(AD173=0,M173,MAX(0.02,IF(AD173&gt;Summary!$B$2,M173*Summary!$B$2/AD173,MIN(M173*1.2,M173*Summary!$B$2/AD173))))))</x:f>
        <x:v>0.75</x:v>
      </x:c>
      <x:c r="AG173" s="11" t="n">
        <x:f>IFERROR(AF173/M173-1,0)</x:f>
        <x:v>0</x:v>
      </x:c>
      <x:c r="AH173" t="str">
        <x:f>IF(Q173=0,"Need clicks",IF(AND(U173=0,Q173&gt;=10),"No sales: lower/pause",IF(AND(AD173&gt;Summary!$B$2,T173&gt;0),"Over target: reduce",IF(AND(AD173&lt;=Summary!$B$2,T173&gt;0),"At/under target: scale/hold",IF(AND(Q173&gt;0,T173=0),"Collect data","Review")))))</x:f>
        <x:v>Need clicks</x:v>
      </x:c>
      <x:c r="AI173" s="10" t="n">
        <x:f>IFERROR(IF(U173=0,R173,MAX(0,R173-(U173*Summary!$B$2))),0)</x:f>
        <x:v>0</x:v>
      </x:c>
      <x:c r="AJ173" t="str">
        <x:f>IF(AH173="No sales: lower/pause","Waste",IF(AH173="Over target: reduce","Inefficient",IF(AH173="At/under target: scale/hold","Efficient",IF(AND(O173&gt;=1000,Q173=0),"High imp/no click","Data gathering"))))</x:f>
        <x:v>Data gathering</x:v>
      </x:c>
    </x:row>
    <x:row r="174">
      <x:c r="A174" t="s">
        <x:v>22</x:v>
      </x:c>
      <x:c r="B174" t="s">
        <x:v>254</x:v>
      </x:c>
      <x:c r="C174" t="s">
        <x:v>22</x:v>
      </x:c>
      <x:c r="D174" t="s">
        <x:v>218</x:v>
      </x:c>
      <x:c r="E174" t="s">
        <x:v>219</x:v>
      </x:c>
      <x:c r="F174" t="s">
        <x:v>26</x:v>
      </x:c>
      <x:c r="G174" t="s">
        <x:v>27</x:v>
      </x:c>
      <x:c r="H174" t="s">
        <x:v>249</x:v>
      </x:c>
      <x:c r="I174">
        <x:v>22</x:v>
      </x:c>
      <x:c r="L174">
        <x:v>0</x:v>
      </x:c>
      <x:c r="M174">
        <x:v>1.74</x:v>
      </x:c>
      <x:c r="N174">
        <x:v>2.82</x:v>
      </x:c>
      <x:c r="O174">
        <x:v>127</x:v>
      </x:c>
      <x:c r="P174">
        <x:v>2.8417163967035999E-2</x:v>
      </x:c>
      <x:c r="Q174">
        <x:v>0</x:v>
      </x:c>
      <x:c r="R174" s="10">
        <x:v>0</x:v>
      </x:c>
      <x:c r="S174">
        <x:v>0</x:v>
      </x:c>
      <x:c r="T174">
        <x:v>0</x:v>
      </x:c>
      <x:c r="U174" s="10">
        <x:v>0</x:v>
      </x:c>
      <x:c r="W174" s="11" t="n">
        <x:f>Summary!$B$2</x:f>
        <x:v>0.15</x:v>
      </x:c>
      <x:c r="X174" s="11" t="n">
        <x:f>IFERROR(AD174-Summary!$B$2,"")</x:f>
        <x:v>-0.15</x:v>
      </x:c>
      <x:c r="Y174" s="10" t="str">
        <x:f>IFERROR((U174/Q174)*Summary!$B$2,"")</x:f>
      </x:c>
      <x:c r="Z174" s="12" t="n">
        <x:f>IFERROR(Q174/O174,0)</x:f>
        <x:v>0</x:v>
      </x:c>
      <x:c r="AA174" s="12" t="n">
        <x:f>IFERROR(T174/Q174,0)</x:f>
        <x:v>0</x:v>
      </x:c>
      <x:c r="AB174" s="10" t="n">
        <x:f>IFERROR(R174/Q174,0)</x:f>
        <x:v>0</x:v>
      </x:c>
      <x:c r="AC174" s="10" t="n">
        <x:f>IFERROR(U174/R174,0)</x:f>
        <x:v>0</x:v>
      </x:c>
      <x:c r="AD174" s="12" t="n">
        <x:f>IFERROR(R174/U174,0)</x:f>
        <x:v>0</x:v>
      </x:c>
      <x:c r="AE174" s="10" t="n">
        <x:f>IFERROR(U174/Q174,0)</x:f>
        <x:v>0</x:v>
      </x:c>
      <x:c r="AF174" s="10" t="n">
        <x:f>IF(Q174=0,M174,IF(U174=0,IF(Q174&gt;=10,MAX(0.02,M174*0.7),M174),IF(AD174=0,M174,MAX(0.02,IF(AD174&gt;Summary!$B$2,M174*Summary!$B$2/AD174,MIN(M174*1.2,M174*Summary!$B$2/AD174))))))</x:f>
        <x:v>1.74</x:v>
      </x:c>
      <x:c r="AG174" s="11" t="n">
        <x:f>IFERROR(AF174/M174-1,0)</x:f>
        <x:v>0</x:v>
      </x:c>
      <x:c r="AH174" t="str">
        <x:f>IF(Q174=0,"Need clicks",IF(AND(U174=0,Q174&gt;=10),"No sales: lower/pause",IF(AND(AD174&gt;Summary!$B$2,T174&gt;0),"Over target: reduce",IF(AND(AD174&lt;=Summary!$B$2,T174&gt;0),"At/under target: scale/hold",IF(AND(Q174&gt;0,T174=0),"Collect data","Review")))))</x:f>
        <x:v>Need clicks</x:v>
      </x:c>
      <x:c r="AI174" s="10" t="n">
        <x:f>IFERROR(IF(U174=0,R174,MAX(0,R174-(U174*Summary!$B$2))),0)</x:f>
        <x:v>0</x:v>
      </x:c>
      <x:c r="AJ174" t="str">
        <x:f>IF(AH174="No sales: lower/pause","Waste",IF(AH174="Over target: reduce","Inefficient",IF(AH174="At/under target: scale/hold","Efficient",IF(AND(O174&gt;=1000,Q174=0),"High imp/no click","Data gathering"))))</x:f>
        <x:v>Data gathering</x:v>
      </x:c>
    </x:row>
    <x:row r="175">
      <x:c r="A175" t="s">
        <x:v>22</x:v>
      </x:c>
      <x:c r="B175" t="s">
        <x:v>254</x:v>
      </x:c>
      <x:c r="C175" t="s">
        <x:v>22</x:v>
      </x:c>
      <x:c r="D175" t="s">
        <x:v>39</x:v>
      </x:c>
      <x:c r="E175" t="s">
        <x:v>219</x:v>
      </x:c>
      <x:c r="F175" t="s">
        <x:v>26</x:v>
      </x:c>
      <x:c r="G175" t="s">
        <x:v>27</x:v>
      </x:c>
      <x:c r="H175" t="s">
        <x:v>249</x:v>
      </x:c>
      <x:c r="I175">
        <x:v>22</x:v>
      </x:c>
      <x:c r="L175">
        <x:v>0</x:v>
      </x:c>
      <x:c r="M175">
        <x:v>1.65</x:v>
      </x:c>
      <x:c r="N175">
        <x:v>1.65</x:v>
      </x:c>
      <x:c r="O175">
        <x:v>840</x:v>
      </x:c>
      <x:c r="P175">
        <x:v>3.6566413748971502E-3</x:v>
      </x:c>
      <x:c r="Q175">
        <x:v>0</x:v>
      </x:c>
      <x:c r="R175" s="10">
        <x:v>0</x:v>
      </x:c>
      <x:c r="S175">
        <x:v>0</x:v>
      </x:c>
      <x:c r="T175">
        <x:v>0</x:v>
      </x:c>
      <x:c r="U175" s="10">
        <x:v>0</x:v>
      </x:c>
      <x:c r="W175" s="11" t="n">
        <x:f>Summary!$B$2</x:f>
        <x:v>0.15</x:v>
      </x:c>
      <x:c r="X175" s="11" t="n">
        <x:f>IFERROR(AD175-Summary!$B$2,"")</x:f>
        <x:v>-0.15</x:v>
      </x:c>
      <x:c r="Y175" s="10" t="str">
        <x:f>IFERROR((U175/Q175)*Summary!$B$2,"")</x:f>
      </x:c>
      <x:c r="Z175" s="12" t="n">
        <x:f>IFERROR(Q175/O175,0)</x:f>
        <x:v>0</x:v>
      </x:c>
      <x:c r="AA175" s="12" t="n">
        <x:f>IFERROR(T175/Q175,0)</x:f>
        <x:v>0</x:v>
      </x:c>
      <x:c r="AB175" s="10" t="n">
        <x:f>IFERROR(R175/Q175,0)</x:f>
        <x:v>0</x:v>
      </x:c>
      <x:c r="AC175" s="10" t="n">
        <x:f>IFERROR(U175/R175,0)</x:f>
        <x:v>0</x:v>
      </x:c>
      <x:c r="AD175" s="12" t="n">
        <x:f>IFERROR(R175/U175,0)</x:f>
        <x:v>0</x:v>
      </x:c>
      <x:c r="AE175" s="10" t="n">
        <x:f>IFERROR(U175/Q175,0)</x:f>
        <x:v>0</x:v>
      </x:c>
      <x:c r="AF175" s="10" t="n">
        <x:f>IF(Q175=0,M175,IF(U175=0,IF(Q175&gt;=10,MAX(0.02,M175*0.7),M175),IF(AD175=0,M175,MAX(0.02,IF(AD175&gt;Summary!$B$2,M175*Summary!$B$2/AD175,MIN(M175*1.2,M175*Summary!$B$2/AD175))))))</x:f>
        <x:v>1.65</x:v>
      </x:c>
      <x:c r="AG175" s="11" t="n">
        <x:f>IFERROR(AF175/M175-1,0)</x:f>
        <x:v>0</x:v>
      </x:c>
      <x:c r="AH175" t="str">
        <x:f>IF(Q175=0,"Need clicks",IF(AND(U175=0,Q175&gt;=10),"No sales: lower/pause",IF(AND(AD175&gt;Summary!$B$2,T175&gt;0),"Over target: reduce",IF(AND(AD175&lt;=Summary!$B$2,T175&gt;0),"At/under target: scale/hold",IF(AND(Q175&gt;0,T175=0),"Collect data","Review")))))</x:f>
        <x:v>Need clicks</x:v>
      </x:c>
      <x:c r="AI175" s="10" t="n">
        <x:f>IFERROR(IF(U175=0,R175,MAX(0,R175-(U175*Summary!$B$2))),0)</x:f>
        <x:v>0</x:v>
      </x:c>
      <x:c r="AJ175" t="str">
        <x:f>IF(AH175="No sales: lower/pause","Waste",IF(AH175="Over target: reduce","Inefficient",IF(AH175="At/under target: scale/hold","Efficient",IF(AND(O175&gt;=1000,Q175=0),"High imp/no click","Data gathering"))))</x:f>
        <x:v>Data gathering</x:v>
      </x:c>
    </x:row>
    <x:row r="176">
      <x:c r="A176" t="s">
        <x:v>22</x:v>
      </x:c>
      <x:c r="B176" t="s">
        <x:v>255</x:v>
      </x:c>
      <x:c r="C176" t="s">
        <x:v>22</x:v>
      </x:c>
      <x:c r="D176" t="s">
        <x:v>218</x:v>
      </x:c>
      <x:c r="E176" t="s">
        <x:v>219</x:v>
      </x:c>
      <x:c r="F176" t="s">
        <x:v>26</x:v>
      </x:c>
      <x:c r="G176" t="s">
        <x:v>27</x:v>
      </x:c>
      <x:c r="H176" t="s">
        <x:v>249</x:v>
      </x:c>
      <x:c r="I176">
        <x:v>22</x:v>
      </x:c>
      <x:c r="L176">
        <x:v>0</x:v>
      </x:c>
      <x:c r="M176">
        <x:v>0.75</x:v>
      </x:c>
      <x:c r="N176">
        <x:v>1.52</x:v>
      </x:c>
      <x:c r="O176">
        <x:v>1</x:v>
      </x:c>
      <x:c r="P176">
        <x:v>0</x:v>
      </x:c>
      <x:c r="Q176">
        <x:v>0</x:v>
      </x:c>
      <x:c r="R176" s="10">
        <x:v>0</x:v>
      </x:c>
      <x:c r="S176">
        <x:v>0</x:v>
      </x:c>
      <x:c r="T176">
        <x:v>0</x:v>
      </x:c>
      <x:c r="U176" s="10">
        <x:v>0</x:v>
      </x:c>
      <x:c r="W176" s="11" t="n">
        <x:f>Summary!$B$2</x:f>
        <x:v>0.15</x:v>
      </x:c>
      <x:c r="X176" s="11" t="n">
        <x:f>IFERROR(AD176-Summary!$B$2,"")</x:f>
        <x:v>-0.15</x:v>
      </x:c>
      <x:c r="Y176" s="10" t="str">
        <x:f>IFERROR((U176/Q176)*Summary!$B$2,"")</x:f>
      </x:c>
      <x:c r="Z176" s="12" t="n">
        <x:f>IFERROR(Q176/O176,0)</x:f>
        <x:v>0</x:v>
      </x:c>
      <x:c r="AA176" s="12" t="n">
        <x:f>IFERROR(T176/Q176,0)</x:f>
        <x:v>0</x:v>
      </x:c>
      <x:c r="AB176" s="10" t="n">
        <x:f>IFERROR(R176/Q176,0)</x:f>
        <x:v>0</x:v>
      </x:c>
      <x:c r="AC176" s="10" t="n">
        <x:f>IFERROR(U176/R176,0)</x:f>
        <x:v>0</x:v>
      </x:c>
      <x:c r="AD176" s="12" t="n">
        <x:f>IFERROR(R176/U176,0)</x:f>
        <x:v>0</x:v>
      </x:c>
      <x:c r="AE176" s="10" t="n">
        <x:f>IFERROR(U176/Q176,0)</x:f>
        <x:v>0</x:v>
      </x:c>
      <x:c r="AF176" s="10" t="n">
        <x:f>IF(Q176=0,M176,IF(U176=0,IF(Q176&gt;=10,MAX(0.02,M176*0.7),M176),IF(AD176=0,M176,MAX(0.02,IF(AD176&gt;Summary!$B$2,M176*Summary!$B$2/AD176,MIN(M176*1.2,M176*Summary!$B$2/AD176))))))</x:f>
        <x:v>0.75</x:v>
      </x:c>
      <x:c r="AG176" s="11" t="n">
        <x:f>IFERROR(AF176/M176-1,0)</x:f>
        <x:v>0</x:v>
      </x:c>
      <x:c r="AH176" t="str">
        <x:f>IF(Q176=0,"Need clicks",IF(AND(U176=0,Q176&gt;=10),"No sales: lower/pause",IF(AND(AD176&gt;Summary!$B$2,T176&gt;0),"Over target: reduce",IF(AND(AD176&lt;=Summary!$B$2,T176&gt;0),"At/under target: scale/hold",IF(AND(Q176&gt;0,T176=0),"Collect data","Review")))))</x:f>
        <x:v>Need clicks</x:v>
      </x:c>
      <x:c r="AI176" s="10" t="n">
        <x:f>IFERROR(IF(U176=0,R176,MAX(0,R176-(U176*Summary!$B$2))),0)</x:f>
        <x:v>0</x:v>
      </x:c>
      <x:c r="AJ176" t="str">
        <x:f>IF(AH176="No sales: lower/pause","Waste",IF(AH176="Over target: reduce","Inefficient",IF(AH176="At/under target: scale/hold","Efficient",IF(AND(O176&gt;=1000,Q176=0),"High imp/no click","Data gathering"))))</x:f>
        <x:v>Data gathering</x:v>
      </x:c>
    </x:row>
    <x:row r="177">
      <x:c r="A177" t="s">
        <x:v>22</x:v>
      </x:c>
      <x:c r="B177" t="s">
        <x:v>255</x:v>
      </x:c>
      <x:c r="C177" t="s">
        <x:v>22</x:v>
      </x:c>
      <x:c r="D177" t="s">
        <x:v>39</x:v>
      </x:c>
      <x:c r="E177" t="s">
        <x:v>219</x:v>
      </x:c>
      <x:c r="F177" t="s">
        <x:v>26</x:v>
      </x:c>
      <x:c r="G177" t="s">
        <x:v>27</x:v>
      </x:c>
      <x:c r="H177" t="s">
        <x:v>249</x:v>
      </x:c>
      <x:c r="I177">
        <x:v>22</x:v>
      </x:c>
      <x:c r="L177">
        <x:v>0</x:v>
      </x:c>
      <x:c r="M177">
        <x:v>0.75</x:v>
      </x:c>
      <x:c r="N177">
        <x:v>1.5</x:v>
      </x:c>
      <x:c r="O177">
        <x:v>5</x:v>
      </x:c>
      <x:c r="P177">
        <x:v>0</x:v>
      </x:c>
      <x:c r="Q177">
        <x:v>0</x:v>
      </x:c>
      <x:c r="R177" s="10">
        <x:v>0</x:v>
      </x:c>
      <x:c r="S177">
        <x:v>0</x:v>
      </x:c>
      <x:c r="T177">
        <x:v>0</x:v>
      </x:c>
      <x:c r="U177" s="10">
        <x:v>0</x:v>
      </x:c>
      <x:c r="W177" s="11" t="n">
        <x:f>Summary!$B$2</x:f>
        <x:v>0.15</x:v>
      </x:c>
      <x:c r="X177" s="11" t="n">
        <x:f>IFERROR(AD177-Summary!$B$2,"")</x:f>
        <x:v>-0.15</x:v>
      </x:c>
      <x:c r="Y177" s="10" t="str">
        <x:f>IFERROR((U177/Q177)*Summary!$B$2,"")</x:f>
      </x:c>
      <x:c r="Z177" s="12" t="n">
        <x:f>IFERROR(Q177/O177,0)</x:f>
        <x:v>0</x:v>
      </x:c>
      <x:c r="AA177" s="12" t="n">
        <x:f>IFERROR(T177/Q177,0)</x:f>
        <x:v>0</x:v>
      </x:c>
      <x:c r="AB177" s="10" t="n">
        <x:f>IFERROR(R177/Q177,0)</x:f>
        <x:v>0</x:v>
      </x:c>
      <x:c r="AC177" s="10" t="n">
        <x:f>IFERROR(U177/R177,0)</x:f>
        <x:v>0</x:v>
      </x:c>
      <x:c r="AD177" s="12" t="n">
        <x:f>IFERROR(R177/U177,0)</x:f>
        <x:v>0</x:v>
      </x:c>
      <x:c r="AE177" s="10" t="n">
        <x:f>IFERROR(U177/Q177,0)</x:f>
        <x:v>0</x:v>
      </x:c>
      <x:c r="AF177" s="10" t="n">
        <x:f>IF(Q177=0,M177,IF(U177=0,IF(Q177&gt;=10,MAX(0.02,M177*0.7),M177),IF(AD177=0,M177,MAX(0.02,IF(AD177&gt;Summary!$B$2,M177*Summary!$B$2/AD177,MIN(M177*1.2,M177*Summary!$B$2/AD177))))))</x:f>
        <x:v>0.75</x:v>
      </x:c>
      <x:c r="AG177" s="11" t="n">
        <x:f>IFERROR(AF177/M177-1,0)</x:f>
        <x:v>0</x:v>
      </x:c>
      <x:c r="AH177" t="str">
        <x:f>IF(Q177=0,"Need clicks",IF(AND(U177=0,Q177&gt;=10),"No sales: lower/pause",IF(AND(AD177&gt;Summary!$B$2,T177&gt;0),"Over target: reduce",IF(AND(AD177&lt;=Summary!$B$2,T177&gt;0),"At/under target: scale/hold",IF(AND(Q177&gt;0,T177=0),"Collect data","Review")))))</x:f>
        <x:v>Need clicks</x:v>
      </x:c>
      <x:c r="AI177" s="10" t="n">
        <x:f>IFERROR(IF(U177=0,R177,MAX(0,R177-(U177*Summary!$B$2))),0)</x:f>
        <x:v>0</x:v>
      </x:c>
      <x:c r="AJ177" t="str">
        <x:f>IF(AH177="No sales: lower/pause","Waste",IF(AH177="Over target: reduce","Inefficient",IF(AH177="At/under target: scale/hold","Efficient",IF(AND(O177&gt;=1000,Q177=0),"High imp/no click","Data gathering"))))</x:f>
        <x:v>Data gathering</x:v>
      </x:c>
    </x:row>
    <x:row r="178">
      <x:c r="A178" t="s">
        <x:v>22</x:v>
      </x:c>
      <x:c r="B178" t="s">
        <x:v>256</x:v>
      </x:c>
      <x:c r="C178" t="s">
        <x:v>22</x:v>
      </x:c>
      <x:c r="D178" t="s">
        <x:v>218</x:v>
      </x:c>
      <x:c r="E178" t="s">
        <x:v>219</x:v>
      </x:c>
      <x:c r="F178" t="s">
        <x:v>26</x:v>
      </x:c>
      <x:c r="G178" t="s">
        <x:v>27</x:v>
      </x:c>
      <x:c r="H178" t="s">
        <x:v>249</x:v>
      </x:c>
      <x:c r="I178">
        <x:v>22</x:v>
      </x:c>
      <x:c r="L178">
        <x:v>0</x:v>
      </x:c>
      <x:c r="M178">
        <x:v>1.83</x:v>
      </x:c>
      <x:c r="N178">
        <x:v>2.5299999999999998</x:v>
      </x:c>
      <x:c r="O178">
        <x:v>120</x:v>
      </x:c>
      <x:c r="P178" s="1" t="s">
        <x:v>257</x:v>
      </x:c>
      <x:c r="Q178">
        <x:v>0</x:v>
      </x:c>
      <x:c r="R178" s="10">
        <x:v>0</x:v>
      </x:c>
      <x:c r="S178">
        <x:v>0</x:v>
      </x:c>
      <x:c r="T178">
        <x:v>0</x:v>
      </x:c>
      <x:c r="U178" s="10">
        <x:v>0</x:v>
      </x:c>
      <x:c r="W178" s="11" t="n">
        <x:f>Summary!$B$2</x:f>
        <x:v>0.15</x:v>
      </x:c>
      <x:c r="X178" s="11" t="n">
        <x:f>IFERROR(AD178-Summary!$B$2,"")</x:f>
        <x:v>-0.15</x:v>
      </x:c>
      <x:c r="Y178" s="10" t="str">
        <x:f>IFERROR((U178/Q178)*Summary!$B$2,"")</x:f>
      </x:c>
      <x:c r="Z178" s="12" t="n">
        <x:f>IFERROR(Q178/O178,0)</x:f>
        <x:v>0</x:v>
      </x:c>
      <x:c r="AA178" s="12" t="n">
        <x:f>IFERROR(T178/Q178,0)</x:f>
        <x:v>0</x:v>
      </x:c>
      <x:c r="AB178" s="10" t="n">
        <x:f>IFERROR(R178/Q178,0)</x:f>
        <x:v>0</x:v>
      </x:c>
      <x:c r="AC178" s="10" t="n">
        <x:f>IFERROR(U178/R178,0)</x:f>
        <x:v>0</x:v>
      </x:c>
      <x:c r="AD178" s="12" t="n">
        <x:f>IFERROR(R178/U178,0)</x:f>
        <x:v>0</x:v>
      </x:c>
      <x:c r="AE178" s="10" t="n">
        <x:f>IFERROR(U178/Q178,0)</x:f>
        <x:v>0</x:v>
      </x:c>
      <x:c r="AF178" s="10" t="n">
        <x:f>IF(Q178=0,M178,IF(U178=0,IF(Q178&gt;=10,MAX(0.02,M178*0.7),M178),IF(AD178=0,M178,MAX(0.02,IF(AD178&gt;Summary!$B$2,M178*Summary!$B$2/AD178,MIN(M178*1.2,M178*Summary!$B$2/AD178))))))</x:f>
        <x:v>1.83</x:v>
      </x:c>
      <x:c r="AG178" s="11" t="n">
        <x:f>IFERROR(AF178/M178-1,0)</x:f>
        <x:v>0</x:v>
      </x:c>
      <x:c r="AH178" t="str">
        <x:f>IF(Q178=0,"Need clicks",IF(AND(U178=0,Q178&gt;=10),"No sales: lower/pause",IF(AND(AD178&gt;Summary!$B$2,T178&gt;0),"Over target: reduce",IF(AND(AD178&lt;=Summary!$B$2,T178&gt;0),"At/under target: scale/hold",IF(AND(Q178&gt;0,T178=0),"Collect data","Review")))))</x:f>
        <x:v>Need clicks</x:v>
      </x:c>
      <x:c r="AI178" s="10" t="n">
        <x:f>IFERROR(IF(U178=0,R178,MAX(0,R178-(U178*Summary!$B$2))),0)</x:f>
        <x:v>0</x:v>
      </x:c>
      <x:c r="AJ178" t="str">
        <x:f>IF(AH178="No sales: lower/pause","Waste",IF(AH178="Over target: reduce","Inefficient",IF(AH178="At/under target: scale/hold","Efficient",IF(AND(O178&gt;=1000,Q178=0),"High imp/no click","Data gathering"))))</x:f>
        <x:v>Data gathering</x:v>
      </x:c>
    </x:row>
    <x:row r="179">
      <x:c r="A179" t="s">
        <x:v>22</x:v>
      </x:c>
      <x:c r="B179" t="s">
        <x:v>258</x:v>
      </x:c>
      <x:c r="C179" t="s">
        <x:v>22</x:v>
      </x:c>
      <x:c r="D179" t="s">
        <x:v>24</x:v>
      </x:c>
      <x:c r="E179" t="s">
        <x:v>63</x:v>
      </x:c>
      <x:c r="F179" t="s">
        <x:v>26</x:v>
      </x:c>
      <x:c r="G179" t="s">
        <x:v>27</x:v>
      </x:c>
      <x:c r="H179" t="s">
        <x:v>134</x:v>
      </x:c>
      <x:c r="I179">
        <x:v>1</x:v>
      </x:c>
      <x:c r="L179">
        <x:v>0</x:v>
      </x:c>
      <x:c r="M179">
        <x:v>6</x:v>
      </x:c>
      <x:c r="N179">
        <x:v>5.99</x:v>
      </x:c>
      <x:c r="O179">
        <x:v>82</x:v>
      </x:c>
      <x:c r="P179" s="1" t="s">
        <x:v>259</x:v>
      </x:c>
      <x:c r="Q179">
        <x:v>0</x:v>
      </x:c>
      <x:c r="R179" s="10">
        <x:v>0</x:v>
      </x:c>
      <x:c r="S179">
        <x:v>0</x:v>
      </x:c>
      <x:c r="T179">
        <x:v>0</x:v>
      </x:c>
      <x:c r="U179" s="10">
        <x:v>0</x:v>
      </x:c>
      <x:c r="W179" s="11" t="n">
        <x:f>Summary!$B$2</x:f>
        <x:v>0.15</x:v>
      </x:c>
      <x:c r="X179" s="11" t="n">
        <x:f>IFERROR(AD179-Summary!$B$2,"")</x:f>
        <x:v>-0.15</x:v>
      </x:c>
      <x:c r="Y179" s="10" t="str">
        <x:f>IFERROR((U179/Q179)*Summary!$B$2,"")</x:f>
      </x:c>
      <x:c r="Z179" s="12" t="n">
        <x:f>IFERROR(Q179/O179,0)</x:f>
        <x:v>0</x:v>
      </x:c>
      <x:c r="AA179" s="12" t="n">
        <x:f>IFERROR(T179/Q179,0)</x:f>
        <x:v>0</x:v>
      </x:c>
      <x:c r="AB179" s="10" t="n">
        <x:f>IFERROR(R179/Q179,0)</x:f>
        <x:v>0</x:v>
      </x:c>
      <x:c r="AC179" s="10" t="n">
        <x:f>IFERROR(U179/R179,0)</x:f>
        <x:v>0</x:v>
      </x:c>
      <x:c r="AD179" s="12" t="n">
        <x:f>IFERROR(R179/U179,0)</x:f>
        <x:v>0</x:v>
      </x:c>
      <x:c r="AE179" s="10" t="n">
        <x:f>IFERROR(U179/Q179,0)</x:f>
        <x:v>0</x:v>
      </x:c>
      <x:c r="AF179" s="10" t="n">
        <x:f>IF(Q179=0,M179,IF(U179=0,IF(Q179&gt;=10,MAX(0.02,M179*0.7),M179),IF(AD179=0,M179,MAX(0.02,IF(AD179&gt;Summary!$B$2,M179*Summary!$B$2/AD179,MIN(M179*1.2,M179*Summary!$B$2/AD179))))))</x:f>
        <x:v>6</x:v>
      </x:c>
      <x:c r="AG179" s="11" t="n">
        <x:f>IFERROR(AF179/M179-1,0)</x:f>
        <x:v>0</x:v>
      </x:c>
      <x:c r="AH179" t="str">
        <x:f>IF(Q179=0,"Need clicks",IF(AND(U179=0,Q179&gt;=10),"No sales: lower/pause",IF(AND(AD179&gt;Summary!$B$2,T179&gt;0),"Over target: reduce",IF(AND(AD179&lt;=Summary!$B$2,T179&gt;0),"At/under target: scale/hold",IF(AND(Q179&gt;0,T179=0),"Collect data","Review")))))</x:f>
        <x:v>Need clicks</x:v>
      </x:c>
      <x:c r="AI179" s="10" t="n">
        <x:f>IFERROR(IF(U179=0,R179,MAX(0,R179-(U179*Summary!$B$2))),0)</x:f>
        <x:v>0</x:v>
      </x:c>
      <x:c r="AJ179" t="str">
        <x:f>IF(AH179="No sales: lower/pause","Waste",IF(AH179="Over target: reduce","Inefficient",IF(AH179="At/under target: scale/hold","Efficient",IF(AND(O179&gt;=1000,Q179=0),"High imp/no click","Data gathering"))))</x:f>
        <x:v>Data gathering</x:v>
      </x:c>
    </x:row>
    <x:row r="180">
      <x:c r="A180" t="s">
        <x:v>22</x:v>
      </x:c>
      <x:c r="B180" t="s">
        <x:v>260</x:v>
      </x:c>
      <x:c r="C180" t="s">
        <x:v>22</x:v>
      </x:c>
      <x:c r="D180" t="s">
        <x:v>24</x:v>
      </x:c>
      <x:c r="E180" t="s">
        <x:v>63</x:v>
      </x:c>
      <x:c r="F180" t="s">
        <x:v>26</x:v>
      </x:c>
      <x:c r="G180" t="s">
        <x:v>27</x:v>
      </x:c>
      <x:c r="H180" t="s">
        <x:v>174</x:v>
      </x:c>
      <x:c r="I180">
        <x:v>1</x:v>
      </x:c>
      <x:c r="L180">
        <x:v>0</x:v>
      </x:c>
      <x:c r="M180">
        <x:v>0.84</x:v>
      </x:c>
      <x:c r="N180">
        <x:v>2.63</x:v>
      </x:c>
      <x:c r="O180">
        <x:v>5</x:v>
      </x:c>
      <x:c r="P180">
        <x:v>0</x:v>
      </x:c>
      <x:c r="Q180">
        <x:v>0</x:v>
      </x:c>
      <x:c r="R180" s="10">
        <x:v>0</x:v>
      </x:c>
      <x:c r="S180">
        <x:v>0</x:v>
      </x:c>
      <x:c r="T180">
        <x:v>0</x:v>
      </x:c>
      <x:c r="U180" s="10">
        <x:v>0</x:v>
      </x:c>
      <x:c r="W180" s="11" t="n">
        <x:f>Summary!$B$2</x:f>
        <x:v>0.15</x:v>
      </x:c>
      <x:c r="X180" s="11" t="n">
        <x:f>IFERROR(AD180-Summary!$B$2,"")</x:f>
        <x:v>-0.15</x:v>
      </x:c>
      <x:c r="Y180" s="10" t="str">
        <x:f>IFERROR((U180/Q180)*Summary!$B$2,"")</x:f>
      </x:c>
      <x:c r="Z180" s="12" t="n">
        <x:f>IFERROR(Q180/O180,0)</x:f>
        <x:v>0</x:v>
      </x:c>
      <x:c r="AA180" s="12" t="n">
        <x:f>IFERROR(T180/Q180,0)</x:f>
        <x:v>0</x:v>
      </x:c>
      <x:c r="AB180" s="10" t="n">
        <x:f>IFERROR(R180/Q180,0)</x:f>
        <x:v>0</x:v>
      </x:c>
      <x:c r="AC180" s="10" t="n">
        <x:f>IFERROR(U180/R180,0)</x:f>
        <x:v>0</x:v>
      </x:c>
      <x:c r="AD180" s="12" t="n">
        <x:f>IFERROR(R180/U180,0)</x:f>
        <x:v>0</x:v>
      </x:c>
      <x:c r="AE180" s="10" t="n">
        <x:f>IFERROR(U180/Q180,0)</x:f>
        <x:v>0</x:v>
      </x:c>
      <x:c r="AF180" s="10" t="n">
        <x:f>IF(Q180=0,M180,IF(U180=0,IF(Q180&gt;=10,MAX(0.02,M180*0.7),M180),IF(AD180=0,M180,MAX(0.02,IF(AD180&gt;Summary!$B$2,M180*Summary!$B$2/AD180,MIN(M180*1.2,M180*Summary!$B$2/AD180))))))</x:f>
        <x:v>0.84</x:v>
      </x:c>
      <x:c r="AG180" s="11" t="n">
        <x:f>IFERROR(AF180/M180-1,0)</x:f>
        <x:v>0</x:v>
      </x:c>
      <x:c r="AH180" t="str">
        <x:f>IF(Q180=0,"Need clicks",IF(AND(U180=0,Q180&gt;=10),"No sales: lower/pause",IF(AND(AD180&gt;Summary!$B$2,T180&gt;0),"Over target: reduce",IF(AND(AD180&lt;=Summary!$B$2,T180&gt;0),"At/under target: scale/hold",IF(AND(Q180&gt;0,T180=0),"Collect data","Review")))))</x:f>
        <x:v>Need clicks</x:v>
      </x:c>
      <x:c r="AI180" s="10" t="n">
        <x:f>IFERROR(IF(U180=0,R180,MAX(0,R180-(U180*Summary!$B$2))),0)</x:f>
        <x:v>0</x:v>
      </x:c>
      <x:c r="AJ180" t="str">
        <x:f>IF(AH180="No sales: lower/pause","Waste",IF(AH180="Over target: reduce","Inefficient",IF(AH180="At/under target: scale/hold","Efficient",IF(AND(O180&gt;=1000,Q180=0),"High imp/no click","Data gathering"))))</x:f>
        <x:v>Data gathering</x:v>
      </x:c>
    </x:row>
    <x:row r="181">
      <x:c r="A181" t="s">
        <x:v>22</x:v>
      </x:c>
      <x:c r="B181" t="s">
        <x:v>261</x:v>
      </x:c>
      <x:c r="C181" t="s">
        <x:v>22</x:v>
      </x:c>
      <x:c r="D181" t="s">
        <x:v>24</x:v>
      </x:c>
      <x:c r="E181" t="s">
        <x:v>63</x:v>
      </x:c>
      <x:c r="F181" t="s">
        <x:v>26</x:v>
      </x:c>
      <x:c r="G181" t="s">
        <x:v>27</x:v>
      </x:c>
      <x:c r="H181" t="s">
        <x:v>124</x:v>
      </x:c>
      <x:c r="I181">
        <x:v>1</x:v>
      </x:c>
      <x:c r="L181">
        <x:v>0</x:v>
      </x:c>
      <x:c r="M181">
        <x:v>1.28</x:v>
      </x:c>
      <x:c r="N181">
        <x:v>3.95</x:v>
      </x:c>
      <x:c r="O181">
        <x:v>8</x:v>
      </x:c>
      <x:c r="P181">
        <x:v>0</x:v>
      </x:c>
      <x:c r="Q181">
        <x:v>0</x:v>
      </x:c>
      <x:c r="R181" s="10">
        <x:v>0</x:v>
      </x:c>
      <x:c r="S181">
        <x:v>0</x:v>
      </x:c>
      <x:c r="T181">
        <x:v>0</x:v>
      </x:c>
      <x:c r="U181" s="10">
        <x:v>0</x:v>
      </x:c>
      <x:c r="W181" s="11" t="n">
        <x:f>Summary!$B$2</x:f>
        <x:v>0.15</x:v>
      </x:c>
      <x:c r="X181" s="11" t="n">
        <x:f>IFERROR(AD181-Summary!$B$2,"")</x:f>
        <x:v>-0.15</x:v>
      </x:c>
      <x:c r="Y181" s="10" t="str">
        <x:f>IFERROR((U181/Q181)*Summary!$B$2,"")</x:f>
      </x:c>
      <x:c r="Z181" s="12" t="n">
        <x:f>IFERROR(Q181/O181,0)</x:f>
        <x:v>0</x:v>
      </x:c>
      <x:c r="AA181" s="12" t="n">
        <x:f>IFERROR(T181/Q181,0)</x:f>
        <x:v>0</x:v>
      </x:c>
      <x:c r="AB181" s="10" t="n">
        <x:f>IFERROR(R181/Q181,0)</x:f>
        <x:v>0</x:v>
      </x:c>
      <x:c r="AC181" s="10" t="n">
        <x:f>IFERROR(U181/R181,0)</x:f>
        <x:v>0</x:v>
      </x:c>
      <x:c r="AD181" s="12" t="n">
        <x:f>IFERROR(R181/U181,0)</x:f>
        <x:v>0</x:v>
      </x:c>
      <x:c r="AE181" s="10" t="n">
        <x:f>IFERROR(U181/Q181,0)</x:f>
        <x:v>0</x:v>
      </x:c>
      <x:c r="AF181" s="10" t="n">
        <x:f>IF(Q181=0,M181,IF(U181=0,IF(Q181&gt;=10,MAX(0.02,M181*0.7),M181),IF(AD181=0,M181,MAX(0.02,IF(AD181&gt;Summary!$B$2,M181*Summary!$B$2/AD181,MIN(M181*1.2,M181*Summary!$B$2/AD181))))))</x:f>
        <x:v>1.28</x:v>
      </x:c>
      <x:c r="AG181" s="11" t="n">
        <x:f>IFERROR(AF181/M181-1,0)</x:f>
        <x:v>0</x:v>
      </x:c>
      <x:c r="AH181" t="str">
        <x:f>IF(Q181=0,"Need clicks",IF(AND(U181=0,Q181&gt;=10),"No sales: lower/pause",IF(AND(AD181&gt;Summary!$B$2,T181&gt;0),"Over target: reduce",IF(AND(AD181&lt;=Summary!$B$2,T181&gt;0),"At/under target: scale/hold",IF(AND(Q181&gt;0,T181=0),"Collect data","Review")))))</x:f>
        <x:v>Need clicks</x:v>
      </x:c>
      <x:c r="AI181" s="10" t="n">
        <x:f>IFERROR(IF(U181=0,R181,MAX(0,R181-(U181*Summary!$B$2))),0)</x:f>
        <x:v>0</x:v>
      </x:c>
      <x:c r="AJ181" t="str">
        <x:f>IF(AH181="No sales: lower/pause","Waste",IF(AH181="Over target: reduce","Inefficient",IF(AH181="At/under target: scale/hold","Efficient",IF(AND(O181&gt;=1000,Q181=0),"High imp/no click","Data gathering"))))</x:f>
        <x:v>Data gathering</x:v>
      </x:c>
    </x:row>
    <x:row r="182">
      <x:c r="A182" t="s">
        <x:v>22</x:v>
      </x:c>
      <x:c r="B182" t="s">
        <x:v>262</x:v>
      </x:c>
      <x:c r="C182" t="s">
        <x:v>22</x:v>
      </x:c>
      <x:c r="D182" t="s">
        <x:v>24</x:v>
      </x:c>
      <x:c r="E182" t="s">
        <x:v>63</x:v>
      </x:c>
      <x:c r="F182" t="s">
        <x:v>26</x:v>
      </x:c>
      <x:c r="G182" t="s">
        <x:v>27</x:v>
      </x:c>
      <x:c r="H182" t="s">
        <x:v>146</x:v>
      </x:c>
      <x:c r="I182">
        <x:v>1</x:v>
      </x:c>
      <x:c r="L182">
        <x:v>0</x:v>
      </x:c>
      <x:c r="M182">
        <x:v>0.85</x:v>
      </x:c>
      <x:c r="N182">
        <x:v>1.44</x:v>
      </x:c>
      <x:c r="O182">
        <x:v>2</x:v>
      </x:c>
      <x:c r="Q182">
        <x:v>0</x:v>
      </x:c>
      <x:c r="R182" s="10">
        <x:v>0</x:v>
      </x:c>
      <x:c r="S182">
        <x:v>0</x:v>
      </x:c>
      <x:c r="T182">
        <x:v>0</x:v>
      </x:c>
      <x:c r="U182" s="10">
        <x:v>0</x:v>
      </x:c>
      <x:c r="W182" s="11" t="n">
        <x:f>Summary!$B$2</x:f>
        <x:v>0.15</x:v>
      </x:c>
      <x:c r="X182" s="11" t="n">
        <x:f>IFERROR(AD182-Summary!$B$2,"")</x:f>
        <x:v>-0.15</x:v>
      </x:c>
      <x:c r="Y182" s="10" t="str">
        <x:f>IFERROR((U182/Q182)*Summary!$B$2,"")</x:f>
      </x:c>
      <x:c r="Z182" s="12" t="n">
        <x:f>IFERROR(Q182/O182,0)</x:f>
        <x:v>0</x:v>
      </x:c>
      <x:c r="AA182" s="12" t="n">
        <x:f>IFERROR(T182/Q182,0)</x:f>
        <x:v>0</x:v>
      </x:c>
      <x:c r="AB182" s="10" t="n">
        <x:f>IFERROR(R182/Q182,0)</x:f>
        <x:v>0</x:v>
      </x:c>
      <x:c r="AC182" s="10" t="n">
        <x:f>IFERROR(U182/R182,0)</x:f>
        <x:v>0</x:v>
      </x:c>
      <x:c r="AD182" s="12" t="n">
        <x:f>IFERROR(R182/U182,0)</x:f>
        <x:v>0</x:v>
      </x:c>
      <x:c r="AE182" s="10" t="n">
        <x:f>IFERROR(U182/Q182,0)</x:f>
        <x:v>0</x:v>
      </x:c>
      <x:c r="AF182" s="10" t="n">
        <x:f>IF(Q182=0,M182,IF(U182=0,IF(Q182&gt;=10,MAX(0.02,M182*0.7),M182),IF(AD182=0,M182,MAX(0.02,IF(AD182&gt;Summary!$B$2,M182*Summary!$B$2/AD182,MIN(M182*1.2,M182*Summary!$B$2/AD182))))))</x:f>
        <x:v>0.85</x:v>
      </x:c>
      <x:c r="AG182" s="11" t="n">
        <x:f>IFERROR(AF182/M182-1,0)</x:f>
        <x:v>0</x:v>
      </x:c>
      <x:c r="AH182" t="str">
        <x:f>IF(Q182=0,"Need clicks",IF(AND(U182=0,Q182&gt;=10),"No sales: lower/pause",IF(AND(AD182&gt;Summary!$B$2,T182&gt;0),"Over target: reduce",IF(AND(AD182&lt;=Summary!$B$2,T182&gt;0),"At/under target: scale/hold",IF(AND(Q182&gt;0,T182=0),"Collect data","Review")))))</x:f>
        <x:v>Need clicks</x:v>
      </x:c>
      <x:c r="AI182" s="10" t="n">
        <x:f>IFERROR(IF(U182=0,R182,MAX(0,R182-(U182*Summary!$B$2))),0)</x:f>
        <x:v>0</x:v>
      </x:c>
      <x:c r="AJ182" t="str">
        <x:f>IF(AH182="No sales: lower/pause","Waste",IF(AH182="Over target: reduce","Inefficient",IF(AH182="At/under target: scale/hold","Efficient",IF(AND(O182&gt;=1000,Q182=0),"High imp/no click","Data gathering"))))</x:f>
        <x:v>Data gathering</x:v>
      </x:c>
    </x:row>
    <x:row r="183">
      <x:c r="A183" t="s">
        <x:v>22</x:v>
      </x:c>
      <x:c r="B183" t="s">
        <x:v>263</x:v>
      </x:c>
      <x:c r="C183" t="s">
        <x:v>22</x:v>
      </x:c>
      <x:c r="D183" t="s">
        <x:v>24</x:v>
      </x:c>
      <x:c r="E183" t="s">
        <x:v>63</x:v>
      </x:c>
      <x:c r="F183" t="s">
        <x:v>26</x:v>
      </x:c>
      <x:c r="G183" t="s">
        <x:v>27</x:v>
      </x:c>
      <x:c r="H183" t="s">
        <x:v>146</x:v>
      </x:c>
      <x:c r="I183">
        <x:v>1</x:v>
      </x:c>
      <x:c r="L183">
        <x:v>0</x:v>
      </x:c>
      <x:c r="M183">
        <x:v>0.85</x:v>
      </x:c>
      <x:c r="N183">
        <x:v>2.29</x:v>
      </x:c>
      <x:c r="O183">
        <x:v>8</x:v>
      </x:c>
      <x:c r="P183">
        <x:v>0</x:v>
      </x:c>
      <x:c r="Q183">
        <x:v>0</x:v>
      </x:c>
      <x:c r="R183" s="10">
        <x:v>0</x:v>
      </x:c>
      <x:c r="S183">
        <x:v>0</x:v>
      </x:c>
      <x:c r="T183">
        <x:v>0</x:v>
      </x:c>
      <x:c r="U183" s="10">
        <x:v>0</x:v>
      </x:c>
      <x:c r="W183" s="11" t="n">
        <x:f>Summary!$B$2</x:f>
        <x:v>0.15</x:v>
      </x:c>
      <x:c r="X183" s="11" t="n">
        <x:f>IFERROR(AD183-Summary!$B$2,"")</x:f>
        <x:v>-0.15</x:v>
      </x:c>
      <x:c r="Y183" s="10" t="str">
        <x:f>IFERROR((U183/Q183)*Summary!$B$2,"")</x:f>
      </x:c>
      <x:c r="Z183" s="12" t="n">
        <x:f>IFERROR(Q183/O183,0)</x:f>
        <x:v>0</x:v>
      </x:c>
      <x:c r="AA183" s="12" t="n">
        <x:f>IFERROR(T183/Q183,0)</x:f>
        <x:v>0</x:v>
      </x:c>
      <x:c r="AB183" s="10" t="n">
        <x:f>IFERROR(R183/Q183,0)</x:f>
        <x:v>0</x:v>
      </x:c>
      <x:c r="AC183" s="10" t="n">
        <x:f>IFERROR(U183/R183,0)</x:f>
        <x:v>0</x:v>
      </x:c>
      <x:c r="AD183" s="12" t="n">
        <x:f>IFERROR(R183/U183,0)</x:f>
        <x:v>0</x:v>
      </x:c>
      <x:c r="AE183" s="10" t="n">
        <x:f>IFERROR(U183/Q183,0)</x:f>
        <x:v>0</x:v>
      </x:c>
      <x:c r="AF183" s="10" t="n">
        <x:f>IF(Q183=0,M183,IF(U183=0,IF(Q183&gt;=10,MAX(0.02,M183*0.7),M183),IF(AD183=0,M183,MAX(0.02,IF(AD183&gt;Summary!$B$2,M183*Summary!$B$2/AD183,MIN(M183*1.2,M183*Summary!$B$2/AD183))))))</x:f>
        <x:v>0.85</x:v>
      </x:c>
      <x:c r="AG183" s="11" t="n">
        <x:f>IFERROR(AF183/M183-1,0)</x:f>
        <x:v>0</x:v>
      </x:c>
      <x:c r="AH183" t="str">
        <x:f>IF(Q183=0,"Need clicks",IF(AND(U183=0,Q183&gt;=10),"No sales: lower/pause",IF(AND(AD183&gt;Summary!$B$2,T183&gt;0),"Over target: reduce",IF(AND(AD183&lt;=Summary!$B$2,T183&gt;0),"At/under target: scale/hold",IF(AND(Q183&gt;0,T183=0),"Collect data","Review")))))</x:f>
        <x:v>Need clicks</x:v>
      </x:c>
      <x:c r="AI183" s="10" t="n">
        <x:f>IFERROR(IF(U183=0,R183,MAX(0,R183-(U183*Summary!$B$2))),0)</x:f>
        <x:v>0</x:v>
      </x:c>
      <x:c r="AJ183" t="str">
        <x:f>IF(AH183="No sales: lower/pause","Waste",IF(AH183="Over target: reduce","Inefficient",IF(AH183="At/under target: scale/hold","Efficient",IF(AND(O183&gt;=1000,Q183=0),"High imp/no click","Data gathering"))))</x:f>
        <x:v>Data gathering</x:v>
      </x:c>
    </x:row>
    <x:row r="184">
      <x:c r="A184" t="s">
        <x:v>22</x:v>
      </x:c>
      <x:c r="B184" t="s">
        <x:v>264</x:v>
      </x:c>
      <x:c r="C184" t="s">
        <x:v>22</x:v>
      </x:c>
      <x:c r="D184" t="s">
        <x:v>24</x:v>
      </x:c>
      <x:c r="E184" t="s">
        <x:v>63</x:v>
      </x:c>
      <x:c r="F184" t="s">
        <x:v>26</x:v>
      </x:c>
      <x:c r="G184" t="s">
        <x:v>27</x:v>
      </x:c>
      <x:c r="H184" t="s">
        <x:v>124</x:v>
      </x:c>
      <x:c r="I184">
        <x:v>1</x:v>
      </x:c>
      <x:c r="L184">
        <x:v>0</x:v>
      </x:c>
      <x:c r="M184">
        <x:v>1.86</x:v>
      </x:c>
      <x:c r="N184">
        <x:v>1.02</x:v>
      </x:c>
      <x:c r="O184">
        <x:v>5</x:v>
      </x:c>
      <x:c r="P184">
        <x:v>0</x:v>
      </x:c>
      <x:c r="Q184">
        <x:v>0</x:v>
      </x:c>
      <x:c r="R184" s="10">
        <x:v>0</x:v>
      </x:c>
      <x:c r="S184">
        <x:v>0</x:v>
      </x:c>
      <x:c r="T184">
        <x:v>0</x:v>
      </x:c>
      <x:c r="U184" s="10">
        <x:v>0</x:v>
      </x:c>
      <x:c r="W184" s="11" t="n">
        <x:f>Summary!$B$2</x:f>
        <x:v>0.15</x:v>
      </x:c>
      <x:c r="X184" s="11" t="n">
        <x:f>IFERROR(AD184-Summary!$B$2,"")</x:f>
        <x:v>-0.15</x:v>
      </x:c>
      <x:c r="Y184" s="10" t="str">
        <x:f>IFERROR((U184/Q184)*Summary!$B$2,"")</x:f>
      </x:c>
      <x:c r="Z184" s="12" t="n">
        <x:f>IFERROR(Q184/O184,0)</x:f>
        <x:v>0</x:v>
      </x:c>
      <x:c r="AA184" s="12" t="n">
        <x:f>IFERROR(T184/Q184,0)</x:f>
        <x:v>0</x:v>
      </x:c>
      <x:c r="AB184" s="10" t="n">
        <x:f>IFERROR(R184/Q184,0)</x:f>
        <x:v>0</x:v>
      </x:c>
      <x:c r="AC184" s="10" t="n">
        <x:f>IFERROR(U184/R184,0)</x:f>
        <x:v>0</x:v>
      </x:c>
      <x:c r="AD184" s="12" t="n">
        <x:f>IFERROR(R184/U184,0)</x:f>
        <x:v>0</x:v>
      </x:c>
      <x:c r="AE184" s="10" t="n">
        <x:f>IFERROR(U184/Q184,0)</x:f>
        <x:v>0</x:v>
      </x:c>
      <x:c r="AF184" s="10" t="n">
        <x:f>IF(Q184=0,M184,IF(U184=0,IF(Q184&gt;=10,MAX(0.02,M184*0.7),M184),IF(AD184=0,M184,MAX(0.02,IF(AD184&gt;Summary!$B$2,M184*Summary!$B$2/AD184,MIN(M184*1.2,M184*Summary!$B$2/AD184))))))</x:f>
        <x:v>1.86</x:v>
      </x:c>
      <x:c r="AG184" s="11" t="n">
        <x:f>IFERROR(AF184/M184-1,0)</x:f>
        <x:v>0</x:v>
      </x:c>
      <x:c r="AH184" t="str">
        <x:f>IF(Q184=0,"Need clicks",IF(AND(U184=0,Q184&gt;=10),"No sales: lower/pause",IF(AND(AD184&gt;Summary!$B$2,T184&gt;0),"Over target: reduce",IF(AND(AD184&lt;=Summary!$B$2,T184&gt;0),"At/under target: scale/hold",IF(AND(Q184&gt;0,T184=0),"Collect data","Review")))))</x:f>
        <x:v>Need clicks</x:v>
      </x:c>
      <x:c r="AI184" s="10" t="n">
        <x:f>IFERROR(IF(U184=0,R184,MAX(0,R184-(U184*Summary!$B$2))),0)</x:f>
        <x:v>0</x:v>
      </x:c>
      <x:c r="AJ184" t="str">
        <x:f>IF(AH184="No sales: lower/pause","Waste",IF(AH184="Over target: reduce","Inefficient",IF(AH184="At/under target: scale/hold","Efficient",IF(AND(O184&gt;=1000,Q184=0),"High imp/no click","Data gathering"))))</x:f>
        <x:v>Data gathering</x:v>
      </x:c>
    </x:row>
    <x:row r="185">
      <x:c r="A185" t="s">
        <x:v>22</x:v>
      </x:c>
      <x:c r="B185" t="s">
        <x:v>265</x:v>
      </x:c>
      <x:c r="C185" t="s">
        <x:v>22</x:v>
      </x:c>
      <x:c r="D185" t="s">
        <x:v>24</x:v>
      </x:c>
      <x:c r="E185" t="s">
        <x:v>63</x:v>
      </x:c>
      <x:c r="F185" t="s">
        <x:v>26</x:v>
      </x:c>
      <x:c r="G185" t="s">
        <x:v>27</x:v>
      </x:c>
      <x:c r="H185" t="s">
        <x:v>196</x:v>
      </x:c>
      <x:c r="I185">
        <x:v>1</x:v>
      </x:c>
      <x:c r="L185">
        <x:v>0</x:v>
      </x:c>
      <x:c r="M185">
        <x:v>0.09</x:v>
      </x:c>
      <x:c r="N185">
        <x:v>3.81</x:v>
      </x:c>
      <x:c r="O185">
        <x:v>2</x:v>
      </x:c>
      <x:c r="P185">
        <x:v>0</x:v>
      </x:c>
      <x:c r="Q185">
        <x:v>0</x:v>
      </x:c>
      <x:c r="R185" s="10">
        <x:v>0</x:v>
      </x:c>
      <x:c r="S185">
        <x:v>0</x:v>
      </x:c>
      <x:c r="T185">
        <x:v>0</x:v>
      </x:c>
      <x:c r="U185" s="10">
        <x:v>0</x:v>
      </x:c>
      <x:c r="W185" s="11" t="n">
        <x:f>Summary!$B$2</x:f>
        <x:v>0.15</x:v>
      </x:c>
      <x:c r="X185" s="11" t="n">
        <x:f>IFERROR(AD185-Summary!$B$2,"")</x:f>
        <x:v>-0.15</x:v>
      </x:c>
      <x:c r="Y185" s="10" t="str">
        <x:f>IFERROR((U185/Q185)*Summary!$B$2,"")</x:f>
      </x:c>
      <x:c r="Z185" s="12" t="n">
        <x:f>IFERROR(Q185/O185,0)</x:f>
        <x:v>0</x:v>
      </x:c>
      <x:c r="AA185" s="12" t="n">
        <x:f>IFERROR(T185/Q185,0)</x:f>
        <x:v>0</x:v>
      </x:c>
      <x:c r="AB185" s="10" t="n">
        <x:f>IFERROR(R185/Q185,0)</x:f>
        <x:v>0</x:v>
      </x:c>
      <x:c r="AC185" s="10" t="n">
        <x:f>IFERROR(U185/R185,0)</x:f>
        <x:v>0</x:v>
      </x:c>
      <x:c r="AD185" s="12" t="n">
        <x:f>IFERROR(R185/U185,0)</x:f>
        <x:v>0</x:v>
      </x:c>
      <x:c r="AE185" s="10" t="n">
        <x:f>IFERROR(U185/Q185,0)</x:f>
        <x:v>0</x:v>
      </x:c>
      <x:c r="AF185" s="10" t="n">
        <x:f>IF(Q185=0,M185,IF(U185=0,IF(Q185&gt;=10,MAX(0.02,M185*0.7),M185),IF(AD185=0,M185,MAX(0.02,IF(AD185&gt;Summary!$B$2,M185*Summary!$B$2/AD185,MIN(M185*1.2,M185*Summary!$B$2/AD185))))))</x:f>
        <x:v>0.09</x:v>
      </x:c>
      <x:c r="AG185" s="11" t="n">
        <x:f>IFERROR(AF185/M185-1,0)</x:f>
        <x:v>0</x:v>
      </x:c>
      <x:c r="AH185" t="str">
        <x:f>IF(Q185=0,"Need clicks",IF(AND(U185=0,Q185&gt;=10),"No sales: lower/pause",IF(AND(AD185&gt;Summary!$B$2,T185&gt;0),"Over target: reduce",IF(AND(AD185&lt;=Summary!$B$2,T185&gt;0),"At/under target: scale/hold",IF(AND(Q185&gt;0,T185=0),"Collect data","Review")))))</x:f>
        <x:v>Need clicks</x:v>
      </x:c>
      <x:c r="AI185" s="10" t="n">
        <x:f>IFERROR(IF(U185=0,R185,MAX(0,R185-(U185*Summary!$B$2))),0)</x:f>
        <x:v>0</x:v>
      </x:c>
      <x:c r="AJ185" t="str">
        <x:f>IF(AH185="No sales: lower/pause","Waste",IF(AH185="Over target: reduce","Inefficient",IF(AH185="At/under target: scale/hold","Efficient",IF(AND(O185&gt;=1000,Q185=0),"High imp/no click","Data gathering"))))</x:f>
        <x:v>Data gathering</x:v>
      </x:c>
    </x:row>
    <x:row r="186">
      <x:c r="A186" t="s">
        <x:v>22</x:v>
      </x:c>
      <x:c r="B186" t="s">
        <x:v>266</x:v>
      </x:c>
      <x:c r="C186" t="s">
        <x:v>22</x:v>
      </x:c>
      <x:c r="D186" t="s">
        <x:v>24</x:v>
      </x:c>
      <x:c r="E186" t="s">
        <x:v>63</x:v>
      </x:c>
      <x:c r="F186" t="s">
        <x:v>26</x:v>
      </x:c>
      <x:c r="G186" t="s">
        <x:v>27</x:v>
      </x:c>
      <x:c r="H186" t="s">
        <x:v>196</x:v>
      </x:c>
      <x:c r="I186">
        <x:v>1</x:v>
      </x:c>
      <x:c r="L186">
        <x:v>0</x:v>
      </x:c>
      <x:c r="M186">
        <x:v>0.15</x:v>
      </x:c>
      <x:c r="N186">
        <x:v>3.94</x:v>
      </x:c>
      <x:c r="O186">
        <x:v>1</x:v>
      </x:c>
      <x:c r="P186">
        <x:v>0</x:v>
      </x:c>
      <x:c r="Q186">
        <x:v>0</x:v>
      </x:c>
      <x:c r="R186" s="10">
        <x:v>0</x:v>
      </x:c>
      <x:c r="S186">
        <x:v>0</x:v>
      </x:c>
      <x:c r="T186">
        <x:v>0</x:v>
      </x:c>
      <x:c r="U186" s="10">
        <x:v>0</x:v>
      </x:c>
      <x:c r="W186" s="11" t="n">
        <x:f>Summary!$B$2</x:f>
        <x:v>0.15</x:v>
      </x:c>
      <x:c r="X186" s="11" t="n">
        <x:f>IFERROR(AD186-Summary!$B$2,"")</x:f>
        <x:v>-0.15</x:v>
      </x:c>
      <x:c r="Y186" s="10" t="str">
        <x:f>IFERROR((U186/Q186)*Summary!$B$2,"")</x:f>
      </x:c>
      <x:c r="Z186" s="12" t="n">
        <x:f>IFERROR(Q186/O186,0)</x:f>
        <x:v>0</x:v>
      </x:c>
      <x:c r="AA186" s="12" t="n">
        <x:f>IFERROR(T186/Q186,0)</x:f>
        <x:v>0</x:v>
      </x:c>
      <x:c r="AB186" s="10" t="n">
        <x:f>IFERROR(R186/Q186,0)</x:f>
        <x:v>0</x:v>
      </x:c>
      <x:c r="AC186" s="10" t="n">
        <x:f>IFERROR(U186/R186,0)</x:f>
        <x:v>0</x:v>
      </x:c>
      <x:c r="AD186" s="12" t="n">
        <x:f>IFERROR(R186/U186,0)</x:f>
        <x:v>0</x:v>
      </x:c>
      <x:c r="AE186" s="10" t="n">
        <x:f>IFERROR(U186/Q186,0)</x:f>
        <x:v>0</x:v>
      </x:c>
      <x:c r="AF186" s="10" t="n">
        <x:f>IF(Q186=0,M186,IF(U186=0,IF(Q186&gt;=10,MAX(0.02,M186*0.7),M186),IF(AD186=0,M186,MAX(0.02,IF(AD186&gt;Summary!$B$2,M186*Summary!$B$2/AD186,MIN(M186*1.2,M186*Summary!$B$2/AD186))))))</x:f>
        <x:v>0.15</x:v>
      </x:c>
      <x:c r="AG186" s="11" t="n">
        <x:f>IFERROR(AF186/M186-1,0)</x:f>
        <x:v>0</x:v>
      </x:c>
      <x:c r="AH186" t="str">
        <x:f>IF(Q186=0,"Need clicks",IF(AND(U186=0,Q186&gt;=10),"No sales: lower/pause",IF(AND(AD186&gt;Summary!$B$2,T186&gt;0),"Over target: reduce",IF(AND(AD186&lt;=Summary!$B$2,T186&gt;0),"At/under target: scale/hold",IF(AND(Q186&gt;0,T186=0),"Collect data","Review")))))</x:f>
        <x:v>Need clicks</x:v>
      </x:c>
      <x:c r="AI186" s="10" t="n">
        <x:f>IFERROR(IF(U186=0,R186,MAX(0,R186-(U186*Summary!$B$2))),0)</x:f>
        <x:v>0</x:v>
      </x:c>
      <x:c r="AJ186" t="str">
        <x:f>IF(AH186="No sales: lower/pause","Waste",IF(AH186="Over target: reduce","Inefficient",IF(AH186="At/under target: scale/hold","Efficient",IF(AND(O186&gt;=1000,Q186=0),"High imp/no click","Data gathering"))))</x:f>
        <x:v>Data gathering</x:v>
      </x:c>
    </x:row>
    <x:row r="187">
      <x:c r="A187" t="s">
        <x:v>22</x:v>
      </x:c>
      <x:c r="B187" t="s">
        <x:v>267</x:v>
      </x:c>
      <x:c r="C187" t="s">
        <x:v>22</x:v>
      </x:c>
      <x:c r="D187" t="s">
        <x:v>218</x:v>
      </x:c>
      <x:c r="E187" t="s">
        <x:v>63</x:v>
      </x:c>
      <x:c r="F187" t="s">
        <x:v>26</x:v>
      </x:c>
      <x:c r="G187" t="s">
        <x:v>27</x:v>
      </x:c>
      <x:c r="H187" t="s">
        <x:v>268</x:v>
      </x:c>
      <x:c r="I187">
        <x:v>3</x:v>
      </x:c>
      <x:c r="L187">
        <x:v>0</x:v>
      </x:c>
      <x:c r="M187">
        <x:v>5.72</x:v>
      </x:c>
      <x:c r="N187">
        <x:v>3.91</x:v>
      </x:c>
      <x:c r="O187">
        <x:v>298</x:v>
      </x:c>
      <x:c r="P187" s="1" t="s">
        <x:v>269</x:v>
      </x:c>
      <x:c r="Q187">
        <x:v>0</x:v>
      </x:c>
      <x:c r="R187" s="10">
        <x:v>0</x:v>
      </x:c>
      <x:c r="S187">
        <x:v>0</x:v>
      </x:c>
      <x:c r="T187">
        <x:v>0</x:v>
      </x:c>
      <x:c r="U187" s="10">
        <x:v>0</x:v>
      </x:c>
      <x:c r="W187" s="11" t="n">
        <x:f>Summary!$B$2</x:f>
        <x:v>0.15</x:v>
      </x:c>
      <x:c r="X187" s="11" t="n">
        <x:f>IFERROR(AD187-Summary!$B$2,"")</x:f>
        <x:v>-0.15</x:v>
      </x:c>
      <x:c r="Y187" s="10" t="str">
        <x:f>IFERROR((U187/Q187)*Summary!$B$2,"")</x:f>
      </x:c>
      <x:c r="Z187" s="12" t="n">
        <x:f>IFERROR(Q187/O187,0)</x:f>
        <x:v>0</x:v>
      </x:c>
      <x:c r="AA187" s="12" t="n">
        <x:f>IFERROR(T187/Q187,0)</x:f>
        <x:v>0</x:v>
      </x:c>
      <x:c r="AB187" s="10" t="n">
        <x:f>IFERROR(R187/Q187,0)</x:f>
        <x:v>0</x:v>
      </x:c>
      <x:c r="AC187" s="10" t="n">
        <x:f>IFERROR(U187/R187,0)</x:f>
        <x:v>0</x:v>
      </x:c>
      <x:c r="AD187" s="12" t="n">
        <x:f>IFERROR(R187/U187,0)</x:f>
        <x:v>0</x:v>
      </x:c>
      <x:c r="AE187" s="10" t="n">
        <x:f>IFERROR(U187/Q187,0)</x:f>
        <x:v>0</x:v>
      </x:c>
      <x:c r="AF187" s="10" t="n">
        <x:f>IF(Q187=0,M187,IF(U187=0,IF(Q187&gt;=10,MAX(0.02,M187*0.7),M187),IF(AD187=0,M187,MAX(0.02,IF(AD187&gt;Summary!$B$2,M187*Summary!$B$2/AD187,MIN(M187*1.2,M187*Summary!$B$2/AD187))))))</x:f>
        <x:v>5.72</x:v>
      </x:c>
      <x:c r="AG187" s="11" t="n">
        <x:f>IFERROR(AF187/M187-1,0)</x:f>
        <x:v>0</x:v>
      </x:c>
      <x:c r="AH187" t="str">
        <x:f>IF(Q187=0,"Need clicks",IF(AND(U187=0,Q187&gt;=10),"No sales: lower/pause",IF(AND(AD187&gt;Summary!$B$2,T187&gt;0),"Over target: reduce",IF(AND(AD187&lt;=Summary!$B$2,T187&gt;0),"At/under target: scale/hold",IF(AND(Q187&gt;0,T187=0),"Collect data","Review")))))</x:f>
        <x:v>Need clicks</x:v>
      </x:c>
      <x:c r="AI187" s="10" t="n">
        <x:f>IFERROR(IF(U187=0,R187,MAX(0,R187-(U187*Summary!$B$2))),0)</x:f>
        <x:v>0</x:v>
      </x:c>
      <x:c r="AJ187" t="str">
        <x:f>IF(AH187="No sales: lower/pause","Waste",IF(AH187="Over target: reduce","Inefficient",IF(AH187="At/under target: scale/hold","Efficient",IF(AND(O187&gt;=1000,Q187=0),"High imp/no click","Data gathering"))))</x:f>
        <x:v>Data gathering</x:v>
      </x:c>
    </x:row>
    <x:row r="188">
      <x:c r="A188" t="s">
        <x:v>22</x:v>
      </x:c>
      <x:c r="B188" t="s">
        <x:v>270</x:v>
      </x:c>
      <x:c r="C188" t="s">
        <x:v>22</x:v>
      </x:c>
      <x:c r="D188" t="s">
        <x:v>39</x:v>
      </x:c>
      <x:c r="E188" t="s">
        <x:v>63</x:v>
      </x:c>
      <x:c r="F188" t="s">
        <x:v>26</x:v>
      </x:c>
      <x:c r="G188" t="s">
        <x:v>27</x:v>
      </x:c>
      <x:c r="H188" t="s">
        <x:v>268</x:v>
      </x:c>
      <x:c r="I188">
        <x:v>3</x:v>
      </x:c>
      <x:c r="L188">
        <x:v>0</x:v>
      </x:c>
      <x:c r="M188">
        <x:v>2.61</x:v>
      </x:c>
      <x:c r="N188">
        <x:v>2.13</x:v>
      </x:c>
      <x:c r="O188">
        <x:v>594</x:v>
      </x:c>
      <x:c r="P188">
        <x:v>6.7818679977212897E-3</x:v>
      </x:c>
      <x:c r="Q188">
        <x:v>0</x:v>
      </x:c>
      <x:c r="R188" s="10">
        <x:v>0</x:v>
      </x:c>
      <x:c r="S188">
        <x:v>0</x:v>
      </x:c>
      <x:c r="T188">
        <x:v>0</x:v>
      </x:c>
      <x:c r="U188" s="10">
        <x:v>0</x:v>
      </x:c>
      <x:c r="W188" s="11" t="n">
        <x:f>Summary!$B$2</x:f>
        <x:v>0.15</x:v>
      </x:c>
      <x:c r="X188" s="11" t="n">
        <x:f>IFERROR(AD188-Summary!$B$2,"")</x:f>
        <x:v>-0.15</x:v>
      </x:c>
      <x:c r="Y188" s="10" t="str">
        <x:f>IFERROR((U188/Q188)*Summary!$B$2,"")</x:f>
      </x:c>
      <x:c r="Z188" s="12" t="n">
        <x:f>IFERROR(Q188/O188,0)</x:f>
        <x:v>0</x:v>
      </x:c>
      <x:c r="AA188" s="12" t="n">
        <x:f>IFERROR(T188/Q188,0)</x:f>
        <x:v>0</x:v>
      </x:c>
      <x:c r="AB188" s="10" t="n">
        <x:f>IFERROR(R188/Q188,0)</x:f>
        <x:v>0</x:v>
      </x:c>
      <x:c r="AC188" s="10" t="n">
        <x:f>IFERROR(U188/R188,0)</x:f>
        <x:v>0</x:v>
      </x:c>
      <x:c r="AD188" s="12" t="n">
        <x:f>IFERROR(R188/U188,0)</x:f>
        <x:v>0</x:v>
      </x:c>
      <x:c r="AE188" s="10" t="n">
        <x:f>IFERROR(U188/Q188,0)</x:f>
        <x:v>0</x:v>
      </x:c>
      <x:c r="AF188" s="10" t="n">
        <x:f>IF(Q188=0,M188,IF(U188=0,IF(Q188&gt;=10,MAX(0.02,M188*0.7),M188),IF(AD188=0,M188,MAX(0.02,IF(AD188&gt;Summary!$B$2,M188*Summary!$B$2/AD188,MIN(M188*1.2,M188*Summary!$B$2/AD188))))))</x:f>
        <x:v>2.61</x:v>
      </x:c>
      <x:c r="AG188" s="11" t="n">
        <x:f>IFERROR(AF188/M188-1,0)</x:f>
        <x:v>0</x:v>
      </x:c>
      <x:c r="AH188" t="str">
        <x:f>IF(Q188=0,"Need clicks",IF(AND(U188=0,Q188&gt;=10),"No sales: lower/pause",IF(AND(AD188&gt;Summary!$B$2,T188&gt;0),"Over target: reduce",IF(AND(AD188&lt;=Summary!$B$2,T188&gt;0),"At/under target: scale/hold",IF(AND(Q188&gt;0,T188=0),"Collect data","Review")))))</x:f>
        <x:v>Need clicks</x:v>
      </x:c>
      <x:c r="AI188" s="10" t="n">
        <x:f>IFERROR(IF(U188=0,R188,MAX(0,R188-(U188*Summary!$B$2))),0)</x:f>
        <x:v>0</x:v>
      </x:c>
      <x:c r="AJ188" t="str">
        <x:f>IF(AH188="No sales: lower/pause","Waste",IF(AH188="Over target: reduce","Inefficient",IF(AH188="At/under target: scale/hold","Efficient",IF(AND(O188&gt;=1000,Q188=0),"High imp/no click","Data gathering"))))</x:f>
        <x:v>Data gathering</x:v>
      </x:c>
    </x:row>
    <x:row r="189">
      <x:c r="A189" t="s">
        <x:v>22</x:v>
      </x:c>
      <x:c r="B189" t="s">
        <x:v>271</x:v>
      </x:c>
      <x:c r="C189" t="s">
        <x:v>22</x:v>
      </x:c>
      <x:c r="D189" t="s">
        <x:v>218</x:v>
      </x:c>
      <x:c r="E189" t="s">
        <x:v>63</x:v>
      </x:c>
      <x:c r="F189" t="s">
        <x:v>26</x:v>
      </x:c>
      <x:c r="G189" t="s">
        <x:v>27</x:v>
      </x:c>
      <x:c r="H189" t="s">
        <x:v>268</x:v>
      </x:c>
      <x:c r="I189">
        <x:v>3</x:v>
      </x:c>
      <x:c r="L189">
        <x:v>0</x:v>
      </x:c>
      <x:c r="M189">
        <x:v>1.45</x:v>
      </x:c>
      <x:c r="N189">
        <x:v>3.76</x:v>
      </x:c>
      <x:c r="O189">
        <x:v>1</x:v>
      </x:c>
      <x:c r="P189">
        <x:v>0</x:v>
      </x:c>
      <x:c r="Q189">
        <x:v>0</x:v>
      </x:c>
      <x:c r="R189" s="10">
        <x:v>0</x:v>
      </x:c>
      <x:c r="S189">
        <x:v>0</x:v>
      </x:c>
      <x:c r="T189">
        <x:v>0</x:v>
      </x:c>
      <x:c r="U189" s="10">
        <x:v>0</x:v>
      </x:c>
      <x:c r="W189" s="11" t="n">
        <x:f>Summary!$B$2</x:f>
        <x:v>0.15</x:v>
      </x:c>
      <x:c r="X189" s="11" t="n">
        <x:f>IFERROR(AD189-Summary!$B$2,"")</x:f>
        <x:v>-0.15</x:v>
      </x:c>
      <x:c r="Y189" s="10" t="str">
        <x:f>IFERROR((U189/Q189)*Summary!$B$2,"")</x:f>
      </x:c>
      <x:c r="Z189" s="12" t="n">
        <x:f>IFERROR(Q189/O189,0)</x:f>
        <x:v>0</x:v>
      </x:c>
      <x:c r="AA189" s="12" t="n">
        <x:f>IFERROR(T189/Q189,0)</x:f>
        <x:v>0</x:v>
      </x:c>
      <x:c r="AB189" s="10" t="n">
        <x:f>IFERROR(R189/Q189,0)</x:f>
        <x:v>0</x:v>
      </x:c>
      <x:c r="AC189" s="10" t="n">
        <x:f>IFERROR(U189/R189,0)</x:f>
        <x:v>0</x:v>
      </x:c>
      <x:c r="AD189" s="12" t="n">
        <x:f>IFERROR(R189/U189,0)</x:f>
        <x:v>0</x:v>
      </x:c>
      <x:c r="AE189" s="10" t="n">
        <x:f>IFERROR(U189/Q189,0)</x:f>
        <x:v>0</x:v>
      </x:c>
      <x:c r="AF189" s="10" t="n">
        <x:f>IF(Q189=0,M189,IF(U189=0,IF(Q189&gt;=10,MAX(0.02,M189*0.7),M189),IF(AD189=0,M189,MAX(0.02,IF(AD189&gt;Summary!$B$2,M189*Summary!$B$2/AD189,MIN(M189*1.2,M189*Summary!$B$2/AD189))))))</x:f>
        <x:v>1.45</x:v>
      </x:c>
      <x:c r="AG189" s="11" t="n">
        <x:f>IFERROR(AF189/M189-1,0)</x:f>
        <x:v>0</x:v>
      </x:c>
      <x:c r="AH189" t="str">
        <x:f>IF(Q189=0,"Need clicks",IF(AND(U189=0,Q189&gt;=10),"No sales: lower/pause",IF(AND(AD189&gt;Summary!$B$2,T189&gt;0),"Over target: reduce",IF(AND(AD189&lt;=Summary!$B$2,T189&gt;0),"At/under target: scale/hold",IF(AND(Q189&gt;0,T189=0),"Collect data","Review")))))</x:f>
        <x:v>Need clicks</x:v>
      </x:c>
      <x:c r="AI189" s="10" t="n">
        <x:f>IFERROR(IF(U189=0,R189,MAX(0,R189-(U189*Summary!$B$2))),0)</x:f>
        <x:v>0</x:v>
      </x:c>
      <x:c r="AJ189" t="str">
        <x:f>IF(AH189="No sales: lower/pause","Waste",IF(AH189="Over target: reduce","Inefficient",IF(AH189="At/under target: scale/hold","Efficient",IF(AND(O189&gt;=1000,Q189=0),"High imp/no click","Data gathering"))))</x:f>
        <x:v>Data gathering</x:v>
      </x:c>
    </x:row>
    <x:row r="190">
      <x:c r="A190" t="s">
        <x:v>22</x:v>
      </x:c>
      <x:c r="B190" t="s">
        <x:v>81</x:v>
      </x:c>
      <x:c r="C190" t="s">
        <x:v>22</x:v>
      </x:c>
      <x:c r="D190" t="s">
        <x:v>218</x:v>
      </x:c>
      <x:c r="E190" t="s">
        <x:v>63</x:v>
      </x:c>
      <x:c r="F190" t="s">
        <x:v>26</x:v>
      </x:c>
      <x:c r="G190" t="s">
        <x:v>27</x:v>
      </x:c>
      <x:c r="H190" t="s">
        <x:v>268</x:v>
      </x:c>
      <x:c r="I190">
        <x:v>3</x:v>
      </x:c>
      <x:c r="L190">
        <x:v>0</x:v>
      </x:c>
      <x:c r="M190">
        <x:v>2.85</x:v>
      </x:c>
      <x:c r="N190">
        <x:v>2.61</x:v>
      </x:c>
      <x:c r="O190">
        <x:v>1</x:v>
      </x:c>
      <x:c r="P190">
        <x:v>0</x:v>
      </x:c>
      <x:c r="Q190">
        <x:v>0</x:v>
      </x:c>
      <x:c r="R190" s="10">
        <x:v>0</x:v>
      </x:c>
      <x:c r="S190">
        <x:v>0</x:v>
      </x:c>
      <x:c r="T190">
        <x:v>0</x:v>
      </x:c>
      <x:c r="U190" s="10">
        <x:v>0</x:v>
      </x:c>
      <x:c r="W190" s="11" t="n">
        <x:f>Summary!$B$2</x:f>
        <x:v>0.15</x:v>
      </x:c>
      <x:c r="X190" s="11" t="n">
        <x:f>IFERROR(AD190-Summary!$B$2,"")</x:f>
        <x:v>-0.15</x:v>
      </x:c>
      <x:c r="Y190" s="10" t="str">
        <x:f>IFERROR((U190/Q190)*Summary!$B$2,"")</x:f>
      </x:c>
      <x:c r="Z190" s="12" t="n">
        <x:f>IFERROR(Q190/O190,0)</x:f>
        <x:v>0</x:v>
      </x:c>
      <x:c r="AA190" s="12" t="n">
        <x:f>IFERROR(T190/Q190,0)</x:f>
        <x:v>0</x:v>
      </x:c>
      <x:c r="AB190" s="10" t="n">
        <x:f>IFERROR(R190/Q190,0)</x:f>
        <x:v>0</x:v>
      </x:c>
      <x:c r="AC190" s="10" t="n">
        <x:f>IFERROR(U190/R190,0)</x:f>
        <x:v>0</x:v>
      </x:c>
      <x:c r="AD190" s="12" t="n">
        <x:f>IFERROR(R190/U190,0)</x:f>
        <x:v>0</x:v>
      </x:c>
      <x:c r="AE190" s="10" t="n">
        <x:f>IFERROR(U190/Q190,0)</x:f>
        <x:v>0</x:v>
      </x:c>
      <x:c r="AF190" s="10" t="n">
        <x:f>IF(Q190=0,M190,IF(U190=0,IF(Q190&gt;=10,MAX(0.02,M190*0.7),M190),IF(AD190=0,M190,MAX(0.02,IF(AD190&gt;Summary!$B$2,M190*Summary!$B$2/AD190,MIN(M190*1.2,M190*Summary!$B$2/AD190))))))</x:f>
        <x:v>2.85</x:v>
      </x:c>
      <x:c r="AG190" s="11" t="n">
        <x:f>IFERROR(AF190/M190-1,0)</x:f>
        <x:v>0</x:v>
      </x:c>
      <x:c r="AH190" t="str">
        <x:f>IF(Q190=0,"Need clicks",IF(AND(U190=0,Q190&gt;=10),"No sales: lower/pause",IF(AND(AD190&gt;Summary!$B$2,T190&gt;0),"Over target: reduce",IF(AND(AD190&lt;=Summary!$B$2,T190&gt;0),"At/under target: scale/hold",IF(AND(Q190&gt;0,T190=0),"Collect data","Review")))))</x:f>
        <x:v>Need clicks</x:v>
      </x:c>
      <x:c r="AI190" s="10" t="n">
        <x:f>IFERROR(IF(U190=0,R190,MAX(0,R190-(U190*Summary!$B$2))),0)</x:f>
        <x:v>0</x:v>
      </x:c>
      <x:c r="AJ190" t="str">
        <x:f>IF(AH190="No sales: lower/pause","Waste",IF(AH190="Over target: reduce","Inefficient",IF(AH190="At/under target: scale/hold","Efficient",IF(AND(O190&gt;=1000,Q190=0),"High imp/no click","Data gathering"))))</x:f>
        <x:v>Data gathering</x:v>
      </x:c>
    </x:row>
    <x:row r="191">
      <x:c r="A191" t="s">
        <x:v>22</x:v>
      </x:c>
      <x:c r="B191" t="s">
        <x:v>272</x:v>
      </x:c>
      <x:c r="C191" t="s">
        <x:v>22</x:v>
      </x:c>
      <x:c r="D191" t="s">
        <x:v>218</x:v>
      </x:c>
      <x:c r="E191" t="s">
        <x:v>63</x:v>
      </x:c>
      <x:c r="F191" t="s">
        <x:v>26</x:v>
      </x:c>
      <x:c r="G191" t="s">
        <x:v>27</x:v>
      </x:c>
      <x:c r="H191" t="s">
        <x:v>268</x:v>
      </x:c>
      <x:c r="I191">
        <x:v>3</x:v>
      </x:c>
      <x:c r="L191">
        <x:v>0</x:v>
      </x:c>
      <x:c r="M191">
        <x:v>1.55</x:v>
      </x:c>
      <x:c r="N191">
        <x:v>1.99</x:v>
      </x:c>
      <x:c r="O191">
        <x:v>2</x:v>
      </x:c>
      <x:c r="P191">
        <x:v>0</x:v>
      </x:c>
      <x:c r="Q191">
        <x:v>0</x:v>
      </x:c>
      <x:c r="R191" s="10">
        <x:v>0</x:v>
      </x:c>
      <x:c r="S191">
        <x:v>0</x:v>
      </x:c>
      <x:c r="T191">
        <x:v>0</x:v>
      </x:c>
      <x:c r="U191" s="10">
        <x:v>0</x:v>
      </x:c>
      <x:c r="W191" s="11" t="n">
        <x:f>Summary!$B$2</x:f>
        <x:v>0.15</x:v>
      </x:c>
      <x:c r="X191" s="11" t="n">
        <x:f>IFERROR(AD191-Summary!$B$2,"")</x:f>
        <x:v>-0.15</x:v>
      </x:c>
      <x:c r="Y191" s="10" t="str">
        <x:f>IFERROR((U191/Q191)*Summary!$B$2,"")</x:f>
      </x:c>
      <x:c r="Z191" s="12" t="n">
        <x:f>IFERROR(Q191/O191,0)</x:f>
        <x:v>0</x:v>
      </x:c>
      <x:c r="AA191" s="12" t="n">
        <x:f>IFERROR(T191/Q191,0)</x:f>
        <x:v>0</x:v>
      </x:c>
      <x:c r="AB191" s="10" t="n">
        <x:f>IFERROR(R191/Q191,0)</x:f>
        <x:v>0</x:v>
      </x:c>
      <x:c r="AC191" s="10" t="n">
        <x:f>IFERROR(U191/R191,0)</x:f>
        <x:v>0</x:v>
      </x:c>
      <x:c r="AD191" s="12" t="n">
        <x:f>IFERROR(R191/U191,0)</x:f>
        <x:v>0</x:v>
      </x:c>
      <x:c r="AE191" s="10" t="n">
        <x:f>IFERROR(U191/Q191,0)</x:f>
        <x:v>0</x:v>
      </x:c>
      <x:c r="AF191" s="10" t="n">
        <x:f>IF(Q191=0,M191,IF(U191=0,IF(Q191&gt;=10,MAX(0.02,M191*0.7),M191),IF(AD191=0,M191,MAX(0.02,IF(AD191&gt;Summary!$B$2,M191*Summary!$B$2/AD191,MIN(M191*1.2,M191*Summary!$B$2/AD191))))))</x:f>
        <x:v>1.55</x:v>
      </x:c>
      <x:c r="AG191" s="11" t="n">
        <x:f>IFERROR(AF191/M191-1,0)</x:f>
        <x:v>0</x:v>
      </x:c>
      <x:c r="AH191" t="str">
        <x:f>IF(Q191=0,"Need clicks",IF(AND(U191=0,Q191&gt;=10),"No sales: lower/pause",IF(AND(AD191&gt;Summary!$B$2,T191&gt;0),"Over target: reduce",IF(AND(AD191&lt;=Summary!$B$2,T191&gt;0),"At/under target: scale/hold",IF(AND(Q191&gt;0,T191=0),"Collect data","Review")))))</x:f>
        <x:v>Need clicks</x:v>
      </x:c>
      <x:c r="AI191" s="10" t="n">
        <x:f>IFERROR(IF(U191=0,R191,MAX(0,R191-(U191*Summary!$B$2))),0)</x:f>
        <x:v>0</x:v>
      </x:c>
      <x:c r="AJ191" t="str">
        <x:f>IF(AH191="No sales: lower/pause","Waste",IF(AH191="Over target: reduce","Inefficient",IF(AH191="At/under target: scale/hold","Efficient",IF(AND(O191&gt;=1000,Q191=0),"High imp/no click","Data gathering"))))</x:f>
        <x:v>Data gathering</x:v>
      </x:c>
    </x:row>
    <x:row r="192">
      <x:c r="A192" t="s">
        <x:v>22</x:v>
      </x:c>
      <x:c r="B192" t="s">
        <x:v>273</x:v>
      </x:c>
      <x:c r="C192" t="s">
        <x:v>22</x:v>
      </x:c>
      <x:c r="D192" t="s">
        <x:v>39</x:v>
      </x:c>
      <x:c r="E192" t="s">
        <x:v>63</x:v>
      </x:c>
      <x:c r="F192" t="s">
        <x:v>26</x:v>
      </x:c>
      <x:c r="G192" t="s">
        <x:v>27</x:v>
      </x:c>
      <x:c r="H192" t="s">
        <x:v>268</x:v>
      </x:c>
      <x:c r="I192">
        <x:v>3</x:v>
      </x:c>
      <x:c r="L192">
        <x:v>0</x:v>
      </x:c>
      <x:c r="M192">
        <x:v>1.44</x:v>
      </x:c>
      <x:c r="N192">
        <x:v>2.97</x:v>
      </x:c>
      <x:c r="O192">
        <x:v>2</x:v>
      </x:c>
      <x:c r="P192">
        <x:v>0</x:v>
      </x:c>
      <x:c r="Q192">
        <x:v>0</x:v>
      </x:c>
      <x:c r="R192" s="10">
        <x:v>0</x:v>
      </x:c>
      <x:c r="S192">
        <x:v>0</x:v>
      </x:c>
      <x:c r="T192">
        <x:v>0</x:v>
      </x:c>
      <x:c r="U192" s="10">
        <x:v>0</x:v>
      </x:c>
      <x:c r="W192" s="11" t="n">
        <x:f>Summary!$B$2</x:f>
        <x:v>0.15</x:v>
      </x:c>
      <x:c r="X192" s="11" t="n">
        <x:f>IFERROR(AD192-Summary!$B$2,"")</x:f>
        <x:v>-0.15</x:v>
      </x:c>
      <x:c r="Y192" s="10" t="str">
        <x:f>IFERROR((U192/Q192)*Summary!$B$2,"")</x:f>
      </x:c>
      <x:c r="Z192" s="12" t="n">
        <x:f>IFERROR(Q192/O192,0)</x:f>
        <x:v>0</x:v>
      </x:c>
      <x:c r="AA192" s="12" t="n">
        <x:f>IFERROR(T192/Q192,0)</x:f>
        <x:v>0</x:v>
      </x:c>
      <x:c r="AB192" s="10" t="n">
        <x:f>IFERROR(R192/Q192,0)</x:f>
        <x:v>0</x:v>
      </x:c>
      <x:c r="AC192" s="10" t="n">
        <x:f>IFERROR(U192/R192,0)</x:f>
        <x:v>0</x:v>
      </x:c>
      <x:c r="AD192" s="12" t="n">
        <x:f>IFERROR(R192/U192,0)</x:f>
        <x:v>0</x:v>
      </x:c>
      <x:c r="AE192" s="10" t="n">
        <x:f>IFERROR(U192/Q192,0)</x:f>
        <x:v>0</x:v>
      </x:c>
      <x:c r="AF192" s="10" t="n">
        <x:f>IF(Q192=0,M192,IF(U192=0,IF(Q192&gt;=10,MAX(0.02,M192*0.7),M192),IF(AD192=0,M192,MAX(0.02,IF(AD192&gt;Summary!$B$2,M192*Summary!$B$2/AD192,MIN(M192*1.2,M192*Summary!$B$2/AD192))))))</x:f>
        <x:v>1.44</x:v>
      </x:c>
      <x:c r="AG192" s="11" t="n">
        <x:f>IFERROR(AF192/M192-1,0)</x:f>
        <x:v>0</x:v>
      </x:c>
      <x:c r="AH192" t="str">
        <x:f>IF(Q192=0,"Need clicks",IF(AND(U192=0,Q192&gt;=10),"No sales: lower/pause",IF(AND(AD192&gt;Summary!$B$2,T192&gt;0),"Over target: reduce",IF(AND(AD192&lt;=Summary!$B$2,T192&gt;0),"At/under target: scale/hold",IF(AND(Q192&gt;0,T192=0),"Collect data","Review")))))</x:f>
        <x:v>Need clicks</x:v>
      </x:c>
      <x:c r="AI192" s="10" t="n">
        <x:f>IFERROR(IF(U192=0,R192,MAX(0,R192-(U192*Summary!$B$2))),0)</x:f>
        <x:v>0</x:v>
      </x:c>
      <x:c r="AJ192" t="str">
        <x:f>IF(AH192="No sales: lower/pause","Waste",IF(AH192="Over target: reduce","Inefficient",IF(AH192="At/under target: scale/hold","Efficient",IF(AND(O192&gt;=1000,Q192=0),"High imp/no click","Data gathering"))))</x:f>
        <x:v>Data gathering</x:v>
      </x:c>
    </x:row>
    <x:row r="193">
      <x:c r="A193" t="s">
        <x:v>22</x:v>
      </x:c>
      <x:c r="B193" t="s">
        <x:v>85</x:v>
      </x:c>
      <x:c r="C193" t="s">
        <x:v>22</x:v>
      </x:c>
      <x:c r="D193" t="s">
        <x:v>218</x:v>
      </x:c>
      <x:c r="E193" t="s">
        <x:v>63</x:v>
      </x:c>
      <x:c r="F193" t="s">
        <x:v>26</x:v>
      </x:c>
      <x:c r="G193" t="s">
        <x:v>27</x:v>
      </x:c>
      <x:c r="H193" t="s">
        <x:v>268</x:v>
      </x:c>
      <x:c r="I193">
        <x:v>3</x:v>
      </x:c>
      <x:c r="L193">
        <x:v>0</x:v>
      </x:c>
      <x:c r="M193">
        <x:v>3.46</x:v>
      </x:c>
      <x:c r="N193">
        <x:v>5.64</x:v>
      </x:c>
      <x:c r="O193">
        <x:v>110</x:v>
      </x:c>
      <x:c r="P193" s="1" t="s">
        <x:v>274</x:v>
      </x:c>
      <x:c r="Q193">
        <x:v>0</x:v>
      </x:c>
      <x:c r="R193" s="10">
        <x:v>0</x:v>
      </x:c>
      <x:c r="S193">
        <x:v>0</x:v>
      </x:c>
      <x:c r="T193">
        <x:v>0</x:v>
      </x:c>
      <x:c r="U193" s="10">
        <x:v>0</x:v>
      </x:c>
      <x:c r="W193" s="11" t="n">
        <x:f>Summary!$B$2</x:f>
        <x:v>0.15</x:v>
      </x:c>
      <x:c r="X193" s="11" t="n">
        <x:f>IFERROR(AD193-Summary!$B$2,"")</x:f>
        <x:v>-0.15</x:v>
      </x:c>
      <x:c r="Y193" s="10" t="str">
        <x:f>IFERROR((U193/Q193)*Summary!$B$2,"")</x:f>
      </x:c>
      <x:c r="Z193" s="12" t="n">
        <x:f>IFERROR(Q193/O193,0)</x:f>
        <x:v>0</x:v>
      </x:c>
      <x:c r="AA193" s="12" t="n">
        <x:f>IFERROR(T193/Q193,0)</x:f>
        <x:v>0</x:v>
      </x:c>
      <x:c r="AB193" s="10" t="n">
        <x:f>IFERROR(R193/Q193,0)</x:f>
        <x:v>0</x:v>
      </x:c>
      <x:c r="AC193" s="10" t="n">
        <x:f>IFERROR(U193/R193,0)</x:f>
        <x:v>0</x:v>
      </x:c>
      <x:c r="AD193" s="12" t="n">
        <x:f>IFERROR(R193/U193,0)</x:f>
        <x:v>0</x:v>
      </x:c>
      <x:c r="AE193" s="10" t="n">
        <x:f>IFERROR(U193/Q193,0)</x:f>
        <x:v>0</x:v>
      </x:c>
      <x:c r="AF193" s="10" t="n">
        <x:f>IF(Q193=0,M193,IF(U193=0,IF(Q193&gt;=10,MAX(0.02,M193*0.7),M193),IF(AD193=0,M193,MAX(0.02,IF(AD193&gt;Summary!$B$2,M193*Summary!$B$2/AD193,MIN(M193*1.2,M193*Summary!$B$2/AD193))))))</x:f>
        <x:v>3.46</x:v>
      </x:c>
      <x:c r="AG193" s="11" t="n">
        <x:f>IFERROR(AF193/M193-1,0)</x:f>
        <x:v>0</x:v>
      </x:c>
      <x:c r="AH193" t="str">
        <x:f>IF(Q193=0,"Need clicks",IF(AND(U193=0,Q193&gt;=10),"No sales: lower/pause",IF(AND(AD193&gt;Summary!$B$2,T193&gt;0),"Over target: reduce",IF(AND(AD193&lt;=Summary!$B$2,T193&gt;0),"At/under target: scale/hold",IF(AND(Q193&gt;0,T193=0),"Collect data","Review")))))</x:f>
        <x:v>Need clicks</x:v>
      </x:c>
      <x:c r="AI193" s="10" t="n">
        <x:f>IFERROR(IF(U193=0,R193,MAX(0,R193-(U193*Summary!$B$2))),0)</x:f>
        <x:v>0</x:v>
      </x:c>
      <x:c r="AJ193" t="str">
        <x:f>IF(AH193="No sales: lower/pause","Waste",IF(AH193="Over target: reduce","Inefficient",IF(AH193="At/under target: scale/hold","Efficient",IF(AND(O193&gt;=1000,Q193=0),"High imp/no click","Data gathering"))))</x:f>
        <x:v>Data gathering</x:v>
      </x:c>
    </x:row>
    <x:row r="194">
      <x:c r="A194" t="s">
        <x:v>22</x:v>
      </x:c>
      <x:c r="B194" t="s">
        <x:v>275</x:v>
      </x:c>
      <x:c r="C194" t="s">
        <x:v>22</x:v>
      </x:c>
      <x:c r="D194" t="s">
        <x:v>218</x:v>
      </x:c>
      <x:c r="E194" t="s">
        <x:v>63</x:v>
      </x:c>
      <x:c r="F194" t="s">
        <x:v>26</x:v>
      </x:c>
      <x:c r="G194" t="s">
        <x:v>27</x:v>
      </x:c>
      <x:c r="H194" t="s">
        <x:v>268</x:v>
      </x:c>
      <x:c r="I194">
        <x:v>3</x:v>
      </x:c>
      <x:c r="L194">
        <x:v>0</x:v>
      </x:c>
      <x:c r="M194">
        <x:v>2.4</x:v>
      </x:c>
      <x:c r="N194">
        <x:v>1.61</x:v>
      </x:c>
      <x:c r="O194">
        <x:v>2</x:v>
      </x:c>
      <x:c r="P194">
        <x:v>0</x:v>
      </x:c>
      <x:c r="Q194">
        <x:v>0</x:v>
      </x:c>
      <x:c r="R194" s="10">
        <x:v>0</x:v>
      </x:c>
      <x:c r="S194">
        <x:v>0</x:v>
      </x:c>
      <x:c r="T194">
        <x:v>0</x:v>
      </x:c>
      <x:c r="U194" s="10">
        <x:v>0</x:v>
      </x:c>
      <x:c r="W194" s="11" t="n">
        <x:f>Summary!$B$2</x:f>
        <x:v>0.15</x:v>
      </x:c>
      <x:c r="X194" s="11" t="n">
        <x:f>IFERROR(AD194-Summary!$B$2,"")</x:f>
        <x:v>-0.15</x:v>
      </x:c>
      <x:c r="Y194" s="10" t="str">
        <x:f>IFERROR((U194/Q194)*Summary!$B$2,"")</x:f>
      </x:c>
      <x:c r="Z194" s="12" t="n">
        <x:f>IFERROR(Q194/O194,0)</x:f>
        <x:v>0</x:v>
      </x:c>
      <x:c r="AA194" s="12" t="n">
        <x:f>IFERROR(T194/Q194,0)</x:f>
        <x:v>0</x:v>
      </x:c>
      <x:c r="AB194" s="10" t="n">
        <x:f>IFERROR(R194/Q194,0)</x:f>
        <x:v>0</x:v>
      </x:c>
      <x:c r="AC194" s="10" t="n">
        <x:f>IFERROR(U194/R194,0)</x:f>
        <x:v>0</x:v>
      </x:c>
      <x:c r="AD194" s="12" t="n">
        <x:f>IFERROR(R194/U194,0)</x:f>
        <x:v>0</x:v>
      </x:c>
      <x:c r="AE194" s="10" t="n">
        <x:f>IFERROR(U194/Q194,0)</x:f>
        <x:v>0</x:v>
      </x:c>
      <x:c r="AF194" s="10" t="n">
        <x:f>IF(Q194=0,M194,IF(U194=0,IF(Q194&gt;=10,MAX(0.02,M194*0.7),M194),IF(AD194=0,M194,MAX(0.02,IF(AD194&gt;Summary!$B$2,M194*Summary!$B$2/AD194,MIN(M194*1.2,M194*Summary!$B$2/AD194))))))</x:f>
        <x:v>2.4</x:v>
      </x:c>
      <x:c r="AG194" s="11" t="n">
        <x:f>IFERROR(AF194/M194-1,0)</x:f>
        <x:v>0</x:v>
      </x:c>
      <x:c r="AH194" t="str">
        <x:f>IF(Q194=0,"Need clicks",IF(AND(U194=0,Q194&gt;=10),"No sales: lower/pause",IF(AND(AD194&gt;Summary!$B$2,T194&gt;0),"Over target: reduce",IF(AND(AD194&lt;=Summary!$B$2,T194&gt;0),"At/under target: scale/hold",IF(AND(Q194&gt;0,T194=0),"Collect data","Review")))))</x:f>
        <x:v>Need clicks</x:v>
      </x:c>
      <x:c r="AI194" s="10" t="n">
        <x:f>IFERROR(IF(U194=0,R194,MAX(0,R194-(U194*Summary!$B$2))),0)</x:f>
        <x:v>0</x:v>
      </x:c>
      <x:c r="AJ194" t="str">
        <x:f>IF(AH194="No sales: lower/pause","Waste",IF(AH194="Over target: reduce","Inefficient",IF(AH194="At/under target: scale/hold","Efficient",IF(AND(O194&gt;=1000,Q194=0),"High imp/no click","Data gathering"))))</x:f>
        <x:v>Data gathering</x:v>
      </x:c>
    </x:row>
    <x:row r="195">
      <x:c r="A195" t="s">
        <x:v>22</x:v>
      </x:c>
      <x:c r="B195" t="s">
        <x:v>276</x:v>
      </x:c>
      <x:c r="C195" t="s">
        <x:v>22</x:v>
      </x:c>
      <x:c r="D195" t="s">
        <x:v>218</x:v>
      </x:c>
      <x:c r="E195" t="s">
        <x:v>63</x:v>
      </x:c>
      <x:c r="F195" t="s">
        <x:v>26</x:v>
      </x:c>
      <x:c r="G195" t="s">
        <x:v>27</x:v>
      </x:c>
      <x:c r="H195" t="s">
        <x:v>268</x:v>
      </x:c>
      <x:c r="I195">
        <x:v>3</x:v>
      </x:c>
      <x:c r="L195">
        <x:v>0</x:v>
      </x:c>
      <x:c r="M195">
        <x:v>2.21</x:v>
      </x:c>
      <x:c r="N195">
        <x:v>2.84</x:v>
      </x:c>
      <x:c r="O195">
        <x:v>120</x:v>
      </x:c>
      <x:c r="P195">
        <x:v>0</x:v>
      </x:c>
      <x:c r="Q195">
        <x:v>0</x:v>
      </x:c>
      <x:c r="R195" s="10">
        <x:v>0</x:v>
      </x:c>
      <x:c r="S195">
        <x:v>0</x:v>
      </x:c>
      <x:c r="T195">
        <x:v>0</x:v>
      </x:c>
      <x:c r="U195" s="10">
        <x:v>0</x:v>
      </x:c>
      <x:c r="W195" s="11" t="n">
        <x:f>Summary!$B$2</x:f>
        <x:v>0.15</x:v>
      </x:c>
      <x:c r="X195" s="11" t="n">
        <x:f>IFERROR(AD195-Summary!$B$2,"")</x:f>
        <x:v>-0.15</x:v>
      </x:c>
      <x:c r="Y195" s="10" t="str">
        <x:f>IFERROR((U195/Q195)*Summary!$B$2,"")</x:f>
      </x:c>
      <x:c r="Z195" s="12" t="n">
        <x:f>IFERROR(Q195/O195,0)</x:f>
        <x:v>0</x:v>
      </x:c>
      <x:c r="AA195" s="12" t="n">
        <x:f>IFERROR(T195/Q195,0)</x:f>
        <x:v>0</x:v>
      </x:c>
      <x:c r="AB195" s="10" t="n">
        <x:f>IFERROR(R195/Q195,0)</x:f>
        <x:v>0</x:v>
      </x:c>
      <x:c r="AC195" s="10" t="n">
        <x:f>IFERROR(U195/R195,0)</x:f>
        <x:v>0</x:v>
      </x:c>
      <x:c r="AD195" s="12" t="n">
        <x:f>IFERROR(R195/U195,0)</x:f>
        <x:v>0</x:v>
      </x:c>
      <x:c r="AE195" s="10" t="n">
        <x:f>IFERROR(U195/Q195,0)</x:f>
        <x:v>0</x:v>
      </x:c>
      <x:c r="AF195" s="10" t="n">
        <x:f>IF(Q195=0,M195,IF(U195=0,IF(Q195&gt;=10,MAX(0.02,M195*0.7),M195),IF(AD195=0,M195,MAX(0.02,IF(AD195&gt;Summary!$B$2,M195*Summary!$B$2/AD195,MIN(M195*1.2,M195*Summary!$B$2/AD195))))))</x:f>
        <x:v>2.21</x:v>
      </x:c>
      <x:c r="AG195" s="11" t="n">
        <x:f>IFERROR(AF195/M195-1,0)</x:f>
        <x:v>0</x:v>
      </x:c>
      <x:c r="AH195" t="str">
        <x:f>IF(Q195=0,"Need clicks",IF(AND(U195=0,Q195&gt;=10),"No sales: lower/pause",IF(AND(AD195&gt;Summary!$B$2,T195&gt;0),"Over target: reduce",IF(AND(AD195&lt;=Summary!$B$2,T195&gt;0),"At/under target: scale/hold",IF(AND(Q195&gt;0,T195=0),"Collect data","Review")))))</x:f>
        <x:v>Need clicks</x:v>
      </x:c>
      <x:c r="AI195" s="10" t="n">
        <x:f>IFERROR(IF(U195=0,R195,MAX(0,R195-(U195*Summary!$B$2))),0)</x:f>
        <x:v>0</x:v>
      </x:c>
      <x:c r="AJ195" t="str">
        <x:f>IF(AH195="No sales: lower/pause","Waste",IF(AH195="Over target: reduce","Inefficient",IF(AH195="At/under target: scale/hold","Efficient",IF(AND(O195&gt;=1000,Q195=0),"High imp/no click","Data gathering"))))</x:f>
        <x:v>Data gathering</x:v>
      </x:c>
    </x:row>
    <x:row r="196">
      <x:c r="A196" t="s">
        <x:v>22</x:v>
      </x:c>
      <x:c r="B196" t="s">
        <x:v>277</x:v>
      </x:c>
      <x:c r="C196" t="s">
        <x:v>22</x:v>
      </x:c>
      <x:c r="D196" t="s">
        <x:v>218</x:v>
      </x:c>
      <x:c r="E196" t="s">
        <x:v>63</x:v>
      </x:c>
      <x:c r="F196" t="s">
        <x:v>26</x:v>
      </x:c>
      <x:c r="G196" t="s">
        <x:v>27</x:v>
      </x:c>
      <x:c r="H196" t="s">
        <x:v>268</x:v>
      </x:c>
      <x:c r="I196">
        <x:v>3</x:v>
      </x:c>
      <x:c r="L196">
        <x:v>0</x:v>
      </x:c>
      <x:c r="M196">
        <x:v>2.67</x:v>
      </x:c>
      <x:c r="N196">
        <x:v>3.2</x:v>
      </x:c>
      <x:c r="O196">
        <x:v>2</x:v>
      </x:c>
      <x:c r="P196">
        <x:v>0</x:v>
      </x:c>
      <x:c r="Q196">
        <x:v>0</x:v>
      </x:c>
      <x:c r="R196" s="10">
        <x:v>0</x:v>
      </x:c>
      <x:c r="S196">
        <x:v>0</x:v>
      </x:c>
      <x:c r="T196">
        <x:v>0</x:v>
      </x:c>
      <x:c r="U196" s="10">
        <x:v>0</x:v>
      </x:c>
      <x:c r="W196" s="11" t="n">
        <x:f>Summary!$B$2</x:f>
        <x:v>0.15</x:v>
      </x:c>
      <x:c r="X196" s="11" t="n">
        <x:f>IFERROR(AD196-Summary!$B$2,"")</x:f>
        <x:v>-0.15</x:v>
      </x:c>
      <x:c r="Y196" s="10" t="str">
        <x:f>IFERROR((U196/Q196)*Summary!$B$2,"")</x:f>
      </x:c>
      <x:c r="Z196" s="12" t="n">
        <x:f>IFERROR(Q196/O196,0)</x:f>
        <x:v>0</x:v>
      </x:c>
      <x:c r="AA196" s="12" t="n">
        <x:f>IFERROR(T196/Q196,0)</x:f>
        <x:v>0</x:v>
      </x:c>
      <x:c r="AB196" s="10" t="n">
        <x:f>IFERROR(R196/Q196,0)</x:f>
        <x:v>0</x:v>
      </x:c>
      <x:c r="AC196" s="10" t="n">
        <x:f>IFERROR(U196/R196,0)</x:f>
        <x:v>0</x:v>
      </x:c>
      <x:c r="AD196" s="12" t="n">
        <x:f>IFERROR(R196/U196,0)</x:f>
        <x:v>0</x:v>
      </x:c>
      <x:c r="AE196" s="10" t="n">
        <x:f>IFERROR(U196/Q196,0)</x:f>
        <x:v>0</x:v>
      </x:c>
      <x:c r="AF196" s="10" t="n">
        <x:f>IF(Q196=0,M196,IF(U196=0,IF(Q196&gt;=10,MAX(0.02,M196*0.7),M196),IF(AD196=0,M196,MAX(0.02,IF(AD196&gt;Summary!$B$2,M196*Summary!$B$2/AD196,MIN(M196*1.2,M196*Summary!$B$2/AD196))))))</x:f>
        <x:v>2.67</x:v>
      </x:c>
      <x:c r="AG196" s="11" t="n">
        <x:f>IFERROR(AF196/M196-1,0)</x:f>
        <x:v>0</x:v>
      </x:c>
      <x:c r="AH196" t="str">
        <x:f>IF(Q196=0,"Need clicks",IF(AND(U196=0,Q196&gt;=10),"No sales: lower/pause",IF(AND(AD196&gt;Summary!$B$2,T196&gt;0),"Over target: reduce",IF(AND(AD196&lt;=Summary!$B$2,T196&gt;0),"At/under target: scale/hold",IF(AND(Q196&gt;0,T196=0),"Collect data","Review")))))</x:f>
        <x:v>Need clicks</x:v>
      </x:c>
      <x:c r="AI196" s="10" t="n">
        <x:f>IFERROR(IF(U196=0,R196,MAX(0,R196-(U196*Summary!$B$2))),0)</x:f>
        <x:v>0</x:v>
      </x:c>
      <x:c r="AJ196" t="str">
        <x:f>IF(AH196="No sales: lower/pause","Waste",IF(AH196="Over target: reduce","Inefficient",IF(AH196="At/under target: scale/hold","Efficient",IF(AND(O196&gt;=1000,Q196=0),"High imp/no click","Data gathering"))))</x:f>
        <x:v>Data gathering</x:v>
      </x:c>
    </x:row>
    <x:row r="197">
      <x:c r="A197" t="s">
        <x:v>22</x:v>
      </x:c>
      <x:c r="B197" t="s">
        <x:v>245</x:v>
      </x:c>
      <x:c r="C197" t="s">
        <x:v>22</x:v>
      </x:c>
      <x:c r="D197" t="s">
        <x:v>246</x:v>
      </x:c>
      <x:c r="E197" t="s">
        <x:v>63</x:v>
      </x:c>
      <x:c r="F197" t="s">
        <x:v>26</x:v>
      </x:c>
      <x:c r="G197" t="s">
        <x:v>27</x:v>
      </x:c>
      <x:c r="H197" t="s">
        <x:v>268</x:v>
      </x:c>
      <x:c r="I197">
        <x:v>3</x:v>
      </x:c>
      <x:c r="L197">
        <x:v>0</x:v>
      </x:c>
      <x:c r="M197">
        <x:v>0.75</x:v>
      </x:c>
      <x:c r="O197">
        <x:v>20</x:v>
      </x:c>
      <x:c r="P197">
        <x:v>0</x:v>
      </x:c>
      <x:c r="Q197">
        <x:v>0</x:v>
      </x:c>
      <x:c r="R197" s="10">
        <x:v>0</x:v>
      </x:c>
      <x:c r="S197">
        <x:v>0</x:v>
      </x:c>
      <x:c r="T197">
        <x:v>0</x:v>
      </x:c>
      <x:c r="U197" s="10">
        <x:v>0</x:v>
      </x:c>
      <x:c r="W197" s="11" t="n">
        <x:f>Summary!$B$2</x:f>
        <x:v>0.15</x:v>
      </x:c>
      <x:c r="X197" s="11" t="n">
        <x:f>IFERROR(AD197-Summary!$B$2,"")</x:f>
        <x:v>-0.15</x:v>
      </x:c>
      <x:c r="Y197" s="10" t="str">
        <x:f>IFERROR((U197/Q197)*Summary!$B$2,"")</x:f>
      </x:c>
      <x:c r="Z197" s="12" t="n">
        <x:f>IFERROR(Q197/O197,0)</x:f>
        <x:v>0</x:v>
      </x:c>
      <x:c r="AA197" s="12" t="n">
        <x:f>IFERROR(T197/Q197,0)</x:f>
        <x:v>0</x:v>
      </x:c>
      <x:c r="AB197" s="10" t="n">
        <x:f>IFERROR(R197/Q197,0)</x:f>
        <x:v>0</x:v>
      </x:c>
      <x:c r="AC197" s="10" t="n">
        <x:f>IFERROR(U197/R197,0)</x:f>
        <x:v>0</x:v>
      </x:c>
      <x:c r="AD197" s="12" t="n">
        <x:f>IFERROR(R197/U197,0)</x:f>
        <x:v>0</x:v>
      </x:c>
      <x:c r="AE197" s="10" t="n">
        <x:f>IFERROR(U197/Q197,0)</x:f>
        <x:v>0</x:v>
      </x:c>
      <x:c r="AF197" s="10" t="n">
        <x:f>IF(Q197=0,M197,IF(U197=0,IF(Q197&gt;=10,MAX(0.02,M197*0.7),M197),IF(AD197=0,M197,MAX(0.02,IF(AD197&gt;Summary!$B$2,M197*Summary!$B$2/AD197,MIN(M197*1.2,M197*Summary!$B$2/AD197))))))</x:f>
        <x:v>0.75</x:v>
      </x:c>
      <x:c r="AG197" s="11" t="n">
        <x:f>IFERROR(AF197/M197-1,0)</x:f>
        <x:v>0</x:v>
      </x:c>
      <x:c r="AH197" t="str">
        <x:f>IF(Q197=0,"Need clicks",IF(AND(U197=0,Q197&gt;=10),"No sales: lower/pause",IF(AND(AD197&gt;Summary!$B$2,T197&gt;0),"Over target: reduce",IF(AND(AD197&lt;=Summary!$B$2,T197&gt;0),"At/under target: scale/hold",IF(AND(Q197&gt;0,T197=0),"Collect data","Review")))))</x:f>
        <x:v>Need clicks</x:v>
      </x:c>
      <x:c r="AI197" s="10" t="n">
        <x:f>IFERROR(IF(U197=0,R197,MAX(0,R197-(U197*Summary!$B$2))),0)</x:f>
        <x:v>0</x:v>
      </x:c>
      <x:c r="AJ197" t="str">
        <x:f>IF(AH197="No sales: lower/pause","Waste",IF(AH197="Over target: reduce","Inefficient",IF(AH197="At/under target: scale/hold","Efficient",IF(AND(O197&gt;=1000,Q197=0),"High imp/no click","Data gathering"))))</x:f>
        <x:v>Data gathering</x:v>
      </x:c>
    </x:row>
    <x:row r="198">
      <x:c r="A198" t="s">
        <x:v>22</x:v>
      </x:c>
      <x:c r="B198" t="s">
        <x:v>278</x:v>
      </x:c>
      <x:c r="C198" t="s">
        <x:v>22</x:v>
      </x:c>
      <x:c r="D198" t="s">
        <x:v>24</x:v>
      </x:c>
      <x:c r="E198" t="s">
        <x:v>63</x:v>
      </x:c>
      <x:c r="F198" t="s">
        <x:v>26</x:v>
      </x:c>
      <x:c r="G198" t="s">
        <x:v>27</x:v>
      </x:c>
      <x:c r="H198" t="s">
        <x:v>116</x:v>
      </x:c>
      <x:c r="I198">
        <x:v>1</x:v>
      </x:c>
      <x:c r="L198">
        <x:v>0</x:v>
      </x:c>
      <x:c r="M198">
        <x:v>2.34</x:v>
      </x:c>
      <x:c r="N198">
        <x:v>2.81</x:v>
      </x:c>
      <x:c r="O198">
        <x:v>176</x:v>
      </x:c>
      <x:c r="P198" s="1" t="s">
        <x:v>279</x:v>
      </x:c>
      <x:c r="Q198">
        <x:v>0</x:v>
      </x:c>
      <x:c r="R198" s="10">
        <x:v>0</x:v>
      </x:c>
      <x:c r="S198">
        <x:v>0</x:v>
      </x:c>
      <x:c r="T198">
        <x:v>0</x:v>
      </x:c>
      <x:c r="U198" s="10">
        <x:v>0</x:v>
      </x:c>
      <x:c r="W198" s="11" t="n">
        <x:f>Summary!$B$2</x:f>
        <x:v>0.15</x:v>
      </x:c>
      <x:c r="X198" s="11" t="n">
        <x:f>IFERROR(AD198-Summary!$B$2,"")</x:f>
        <x:v>-0.15</x:v>
      </x:c>
      <x:c r="Y198" s="10" t="str">
        <x:f>IFERROR((U198/Q198)*Summary!$B$2,"")</x:f>
      </x:c>
      <x:c r="Z198" s="12" t="n">
        <x:f>IFERROR(Q198/O198,0)</x:f>
        <x:v>0</x:v>
      </x:c>
      <x:c r="AA198" s="12" t="n">
        <x:f>IFERROR(T198/Q198,0)</x:f>
        <x:v>0</x:v>
      </x:c>
      <x:c r="AB198" s="10" t="n">
        <x:f>IFERROR(R198/Q198,0)</x:f>
        <x:v>0</x:v>
      </x:c>
      <x:c r="AC198" s="10" t="n">
        <x:f>IFERROR(U198/R198,0)</x:f>
        <x:v>0</x:v>
      </x:c>
      <x:c r="AD198" s="12" t="n">
        <x:f>IFERROR(R198/U198,0)</x:f>
        <x:v>0</x:v>
      </x:c>
      <x:c r="AE198" s="10" t="n">
        <x:f>IFERROR(U198/Q198,0)</x:f>
        <x:v>0</x:v>
      </x:c>
      <x:c r="AF198" s="10" t="n">
        <x:f>IF(Q198=0,M198,IF(U198=0,IF(Q198&gt;=10,MAX(0.02,M198*0.7),M198),IF(AD198=0,M198,MAX(0.02,IF(AD198&gt;Summary!$B$2,M198*Summary!$B$2/AD198,MIN(M198*1.2,M198*Summary!$B$2/AD198))))))</x:f>
        <x:v>2.34</x:v>
      </x:c>
      <x:c r="AG198" s="11" t="n">
        <x:f>IFERROR(AF198/M198-1,0)</x:f>
        <x:v>0</x:v>
      </x:c>
      <x:c r="AH198" t="str">
        <x:f>IF(Q198=0,"Need clicks",IF(AND(U198=0,Q198&gt;=10),"No sales: lower/pause",IF(AND(AD198&gt;Summary!$B$2,T198&gt;0),"Over target: reduce",IF(AND(AD198&lt;=Summary!$B$2,T198&gt;0),"At/under target: scale/hold",IF(AND(Q198&gt;0,T198=0),"Collect data","Review")))))</x:f>
        <x:v>Need clicks</x:v>
      </x:c>
      <x:c r="AI198" s="10" t="n">
        <x:f>IFERROR(IF(U198=0,R198,MAX(0,R198-(U198*Summary!$B$2))),0)</x:f>
        <x:v>0</x:v>
      </x:c>
      <x:c r="AJ198" t="str">
        <x:f>IF(AH198="No sales: lower/pause","Waste",IF(AH198="Over target: reduce","Inefficient",IF(AH198="At/under target: scale/hold","Efficient",IF(AND(O198&gt;=1000,Q198=0),"High imp/no click","Data gathering"))))</x:f>
        <x:v>Data gathering</x:v>
      </x:c>
    </x:row>
    <x:row r="199">
      <x:c r="A199" t="s">
        <x:v>22</x:v>
      </x:c>
      <x:c r="B199" t="s">
        <x:v>280</x:v>
      </x:c>
      <x:c r="C199" t="s">
        <x:v>22</x:v>
      </x:c>
      <x:c r="D199" t="s">
        <x:v>24</x:v>
      </x:c>
      <x:c r="E199" t="s">
        <x:v>63</x:v>
      </x:c>
      <x:c r="F199" t="s">
        <x:v>26</x:v>
      </x:c>
      <x:c r="G199" t="s">
        <x:v>27</x:v>
      </x:c>
      <x:c r="H199" t="s">
        <x:v>196</x:v>
      </x:c>
      <x:c r="I199">
        <x:v>1</x:v>
      </x:c>
      <x:c r="L199">
        <x:v>0</x:v>
      </x:c>
      <x:c r="M199">
        <x:v>1.1200000000000001</x:v>
      </x:c>
      <x:c r="N199">
        <x:v>2.99</x:v>
      </x:c>
      <x:c r="O199">
        <x:v>16</x:v>
      </x:c>
      <x:c r="P199">
        <x:v>0</x:v>
      </x:c>
      <x:c r="Q199">
        <x:v>0</x:v>
      </x:c>
      <x:c r="R199" s="10">
        <x:v>0</x:v>
      </x:c>
      <x:c r="S199">
        <x:v>0</x:v>
      </x:c>
      <x:c r="T199">
        <x:v>0</x:v>
      </x:c>
      <x:c r="U199" s="10">
        <x:v>0</x:v>
      </x:c>
      <x:c r="W199" s="11" t="n">
        <x:f>Summary!$B$2</x:f>
        <x:v>0.15</x:v>
      </x:c>
      <x:c r="X199" s="11" t="n">
        <x:f>IFERROR(AD199-Summary!$B$2,"")</x:f>
        <x:v>-0.15</x:v>
      </x:c>
      <x:c r="Y199" s="10" t="str">
        <x:f>IFERROR((U199/Q199)*Summary!$B$2,"")</x:f>
      </x:c>
      <x:c r="Z199" s="12" t="n">
        <x:f>IFERROR(Q199/O199,0)</x:f>
        <x:v>0</x:v>
      </x:c>
      <x:c r="AA199" s="12" t="n">
        <x:f>IFERROR(T199/Q199,0)</x:f>
        <x:v>0</x:v>
      </x:c>
      <x:c r="AB199" s="10" t="n">
        <x:f>IFERROR(R199/Q199,0)</x:f>
        <x:v>0</x:v>
      </x:c>
      <x:c r="AC199" s="10" t="n">
        <x:f>IFERROR(U199/R199,0)</x:f>
        <x:v>0</x:v>
      </x:c>
      <x:c r="AD199" s="12" t="n">
        <x:f>IFERROR(R199/U199,0)</x:f>
        <x:v>0</x:v>
      </x:c>
      <x:c r="AE199" s="10" t="n">
        <x:f>IFERROR(U199/Q199,0)</x:f>
        <x:v>0</x:v>
      </x:c>
      <x:c r="AF199" s="10" t="n">
        <x:f>IF(Q199=0,M199,IF(U199=0,IF(Q199&gt;=10,MAX(0.02,M199*0.7),M199),IF(AD199=0,M199,MAX(0.02,IF(AD199&gt;Summary!$B$2,M199*Summary!$B$2/AD199,MIN(M199*1.2,M199*Summary!$B$2/AD199))))))</x:f>
        <x:v>1.12</x:v>
      </x:c>
      <x:c r="AG199" s="11" t="n">
        <x:f>IFERROR(AF199/M199-1,0)</x:f>
        <x:v>0</x:v>
      </x:c>
      <x:c r="AH199" t="str">
        <x:f>IF(Q199=0,"Need clicks",IF(AND(U199=0,Q199&gt;=10),"No sales: lower/pause",IF(AND(AD199&gt;Summary!$B$2,T199&gt;0),"Over target: reduce",IF(AND(AD199&lt;=Summary!$B$2,T199&gt;0),"At/under target: scale/hold",IF(AND(Q199&gt;0,T199=0),"Collect data","Review")))))</x:f>
        <x:v>Need clicks</x:v>
      </x:c>
      <x:c r="AI199" s="10" t="n">
        <x:f>IFERROR(IF(U199=0,R199,MAX(0,R199-(U199*Summary!$B$2))),0)</x:f>
        <x:v>0</x:v>
      </x:c>
      <x:c r="AJ199" t="str">
        <x:f>IF(AH199="No sales: lower/pause","Waste",IF(AH199="Over target: reduce","Inefficient",IF(AH199="At/under target: scale/hold","Efficient",IF(AND(O199&gt;=1000,Q199=0),"High imp/no click","Data gathering"))))</x:f>
        <x:v>Data gathering</x:v>
      </x:c>
    </x:row>
    <x:row r="200">
      <x:c r="A200" t="s">
        <x:v>22</x:v>
      </x:c>
      <x:c r="B200" t="s">
        <x:v>281</x:v>
      </x:c>
      <x:c r="C200" t="s">
        <x:v>22</x:v>
      </x:c>
      <x:c r="D200" t="s">
        <x:v>218</x:v>
      </x:c>
      <x:c r="E200" t="s">
        <x:v>63</x:v>
      </x:c>
      <x:c r="F200" t="s">
        <x:v>26</x:v>
      </x:c>
      <x:c r="G200" t="s">
        <x:v>27</x:v>
      </x:c>
      <x:c r="H200" t="s">
        <x:v>282</x:v>
      </x:c>
      <x:c r="I200">
        <x:v>2</x:v>
      </x:c>
      <x:c r="L200">
        <x:v>0</x:v>
      </x:c>
      <x:c r="M200">
        <x:v>6</x:v>
      </x:c>
      <x:c r="N200">
        <x:v>1.2</x:v>
      </x:c>
      <x:c r="O200">
        <x:v>525</x:v>
      </x:c>
      <x:c r="P200" s="1" t="s">
        <x:v>283</x:v>
      </x:c>
      <x:c r="Q200">
        <x:v>0</x:v>
      </x:c>
      <x:c r="R200" s="10">
        <x:v>0</x:v>
      </x:c>
      <x:c r="S200">
        <x:v>0</x:v>
      </x:c>
      <x:c r="T200">
        <x:v>0</x:v>
      </x:c>
      <x:c r="U200" s="10">
        <x:v>0</x:v>
      </x:c>
      <x:c r="W200" s="11" t="n">
        <x:f>Summary!$B$2</x:f>
        <x:v>0.15</x:v>
      </x:c>
      <x:c r="X200" s="11" t="n">
        <x:f>IFERROR(AD200-Summary!$B$2,"")</x:f>
        <x:v>-0.15</x:v>
      </x:c>
      <x:c r="Y200" s="10" t="str">
        <x:f>IFERROR((U200/Q200)*Summary!$B$2,"")</x:f>
      </x:c>
      <x:c r="Z200" s="12" t="n">
        <x:f>IFERROR(Q200/O200,0)</x:f>
        <x:v>0</x:v>
      </x:c>
      <x:c r="AA200" s="12" t="n">
        <x:f>IFERROR(T200/Q200,0)</x:f>
        <x:v>0</x:v>
      </x:c>
      <x:c r="AB200" s="10" t="n">
        <x:f>IFERROR(R200/Q200,0)</x:f>
        <x:v>0</x:v>
      </x:c>
      <x:c r="AC200" s="10" t="n">
        <x:f>IFERROR(U200/R200,0)</x:f>
        <x:v>0</x:v>
      </x:c>
      <x:c r="AD200" s="12" t="n">
        <x:f>IFERROR(R200/U200,0)</x:f>
        <x:v>0</x:v>
      </x:c>
      <x:c r="AE200" s="10" t="n">
        <x:f>IFERROR(U200/Q200,0)</x:f>
        <x:v>0</x:v>
      </x:c>
      <x:c r="AF200" s="10" t="n">
        <x:f>IF(Q200=0,M200,IF(U200=0,IF(Q200&gt;=10,MAX(0.02,M200*0.7),M200),IF(AD200=0,M200,MAX(0.02,IF(AD200&gt;Summary!$B$2,M200*Summary!$B$2/AD200,MIN(M200*1.2,M200*Summary!$B$2/AD200))))))</x:f>
        <x:v>6</x:v>
      </x:c>
      <x:c r="AG200" s="11" t="n">
        <x:f>IFERROR(AF200/M200-1,0)</x:f>
        <x:v>0</x:v>
      </x:c>
      <x:c r="AH200" t="str">
        <x:f>IF(Q200=0,"Need clicks",IF(AND(U200=0,Q200&gt;=10),"No sales: lower/pause",IF(AND(AD200&gt;Summary!$B$2,T200&gt;0),"Over target: reduce",IF(AND(AD200&lt;=Summary!$B$2,T200&gt;0),"At/under target: scale/hold",IF(AND(Q200&gt;0,T200=0),"Collect data","Review")))))</x:f>
        <x:v>Need clicks</x:v>
      </x:c>
      <x:c r="AI200" s="10" t="n">
        <x:f>IFERROR(IF(U200=0,R200,MAX(0,R200-(U200*Summary!$B$2))),0)</x:f>
        <x:v>0</x:v>
      </x:c>
      <x:c r="AJ200" t="str">
        <x:f>IF(AH200="No sales: lower/pause","Waste",IF(AH200="Over target: reduce","Inefficient",IF(AH200="At/under target: scale/hold","Efficient",IF(AND(O200&gt;=1000,Q200=0),"High imp/no click","Data gathering"))))</x:f>
        <x:v>Data gathering</x:v>
      </x:c>
    </x:row>
    <x:row r="201">
      <x:c r="A201" t="s">
        <x:v>22</x:v>
      </x:c>
      <x:c r="B201" t="s">
        <x:v>179</x:v>
      </x:c>
      <x:c r="C201" t="s">
        <x:v>22</x:v>
      </x:c>
      <x:c r="D201" t="s">
        <x:v>39</x:v>
      </x:c>
      <x:c r="E201" t="s">
        <x:v>63</x:v>
      </x:c>
      <x:c r="F201" t="s">
        <x:v>26</x:v>
      </x:c>
      <x:c r="G201" t="s">
        <x:v>27</x:v>
      </x:c>
      <x:c r="H201" t="s">
        <x:v>282</x:v>
      </x:c>
      <x:c r="I201">
        <x:v>2</x:v>
      </x:c>
      <x:c r="L201">
        <x:v>0</x:v>
      </x:c>
      <x:c r="M201">
        <x:v>6</x:v>
      </x:c>
      <x:c r="N201">
        <x:v>7.36</x:v>
      </x:c>
      <x:c r="O201">
        <x:v>278</x:v>
      </x:c>
      <x:c r="P201" s="1" t="s">
        <x:v>284</x:v>
      </x:c>
      <x:c r="Q201">
        <x:v>0</x:v>
      </x:c>
      <x:c r="R201" s="10">
        <x:v>0</x:v>
      </x:c>
      <x:c r="S201">
        <x:v>0</x:v>
      </x:c>
      <x:c r="T201">
        <x:v>0</x:v>
      </x:c>
      <x:c r="U201" s="10">
        <x:v>0</x:v>
      </x:c>
      <x:c r="W201" s="11" t="n">
        <x:f>Summary!$B$2</x:f>
        <x:v>0.15</x:v>
      </x:c>
      <x:c r="X201" s="11" t="n">
        <x:f>IFERROR(AD201-Summary!$B$2,"")</x:f>
        <x:v>-0.15</x:v>
      </x:c>
      <x:c r="Y201" s="10" t="str">
        <x:f>IFERROR((U201/Q201)*Summary!$B$2,"")</x:f>
      </x:c>
      <x:c r="Z201" s="12" t="n">
        <x:f>IFERROR(Q201/O201,0)</x:f>
        <x:v>0</x:v>
      </x:c>
      <x:c r="AA201" s="12" t="n">
        <x:f>IFERROR(T201/Q201,0)</x:f>
        <x:v>0</x:v>
      </x:c>
      <x:c r="AB201" s="10" t="n">
        <x:f>IFERROR(R201/Q201,0)</x:f>
        <x:v>0</x:v>
      </x:c>
      <x:c r="AC201" s="10" t="n">
        <x:f>IFERROR(U201/R201,0)</x:f>
        <x:v>0</x:v>
      </x:c>
      <x:c r="AD201" s="12" t="n">
        <x:f>IFERROR(R201/U201,0)</x:f>
        <x:v>0</x:v>
      </x:c>
      <x:c r="AE201" s="10" t="n">
        <x:f>IFERROR(U201/Q201,0)</x:f>
        <x:v>0</x:v>
      </x:c>
      <x:c r="AF201" s="10" t="n">
        <x:f>IF(Q201=0,M201,IF(U201=0,IF(Q201&gt;=10,MAX(0.02,M201*0.7),M201),IF(AD201=0,M201,MAX(0.02,IF(AD201&gt;Summary!$B$2,M201*Summary!$B$2/AD201,MIN(M201*1.2,M201*Summary!$B$2/AD201))))))</x:f>
        <x:v>6</x:v>
      </x:c>
      <x:c r="AG201" s="11" t="n">
        <x:f>IFERROR(AF201/M201-1,0)</x:f>
        <x:v>0</x:v>
      </x:c>
      <x:c r="AH201" t="str">
        <x:f>IF(Q201=0,"Need clicks",IF(AND(U201=0,Q201&gt;=10),"No sales: lower/pause",IF(AND(AD201&gt;Summary!$B$2,T201&gt;0),"Over target: reduce",IF(AND(AD201&lt;=Summary!$B$2,T201&gt;0),"At/under target: scale/hold",IF(AND(Q201&gt;0,T201=0),"Collect data","Review")))))</x:f>
        <x:v>Need clicks</x:v>
      </x:c>
      <x:c r="AI201" s="10" t="n">
        <x:f>IFERROR(IF(U201=0,R201,MAX(0,R201-(U201*Summary!$B$2))),0)</x:f>
        <x:v>0</x:v>
      </x:c>
      <x:c r="AJ201" t="str">
        <x:f>IF(AH201="No sales: lower/pause","Waste",IF(AH201="Over target: reduce","Inefficient",IF(AH201="At/under target: scale/hold","Efficient",IF(AND(O201&gt;=1000,Q201=0),"High imp/no click","Data gathering"))))</x:f>
        <x:v>Data gathering</x:v>
      </x:c>
    </x:row>
    <x:row r="202">
      <x:c r="A202" t="s">
        <x:v>22</x:v>
      </x:c>
      <x:c r="B202" t="s">
        <x:v>181</x:v>
      </x:c>
      <x:c r="C202" t="s">
        <x:v>22</x:v>
      </x:c>
      <x:c r="D202" t="s">
        <x:v>39</x:v>
      </x:c>
      <x:c r="E202" t="s">
        <x:v>63</x:v>
      </x:c>
      <x:c r="F202" t="s">
        <x:v>26</x:v>
      </x:c>
      <x:c r="G202" t="s">
        <x:v>27</x:v>
      </x:c>
      <x:c r="H202" t="s">
        <x:v>282</x:v>
      </x:c>
      <x:c r="I202">
        <x:v>2</x:v>
      </x:c>
      <x:c r="L202">
        <x:v>0</x:v>
      </x:c>
      <x:c r="M202">
        <x:v>6</x:v>
      </x:c>
      <x:c r="N202">
        <x:v>7.74</x:v>
      </x:c>
      <x:c r="O202">
        <x:v>46</x:v>
      </x:c>
      <x:c r="P202" s="1" t="s">
        <x:v>285</x:v>
      </x:c>
      <x:c r="Q202">
        <x:v>0</x:v>
      </x:c>
      <x:c r="R202" s="10">
        <x:v>0</x:v>
      </x:c>
      <x:c r="S202">
        <x:v>0</x:v>
      </x:c>
      <x:c r="T202">
        <x:v>0</x:v>
      </x:c>
      <x:c r="U202" s="10">
        <x:v>0</x:v>
      </x:c>
      <x:c r="W202" s="11" t="n">
        <x:f>Summary!$B$2</x:f>
        <x:v>0.15</x:v>
      </x:c>
      <x:c r="X202" s="11" t="n">
        <x:f>IFERROR(AD202-Summary!$B$2,"")</x:f>
        <x:v>-0.15</x:v>
      </x:c>
      <x:c r="Y202" s="10" t="str">
        <x:f>IFERROR((U202/Q202)*Summary!$B$2,"")</x:f>
      </x:c>
      <x:c r="Z202" s="12" t="n">
        <x:f>IFERROR(Q202/O202,0)</x:f>
        <x:v>0</x:v>
      </x:c>
      <x:c r="AA202" s="12" t="n">
        <x:f>IFERROR(T202/Q202,0)</x:f>
        <x:v>0</x:v>
      </x:c>
      <x:c r="AB202" s="10" t="n">
        <x:f>IFERROR(R202/Q202,0)</x:f>
        <x:v>0</x:v>
      </x:c>
      <x:c r="AC202" s="10" t="n">
        <x:f>IFERROR(U202/R202,0)</x:f>
        <x:v>0</x:v>
      </x:c>
      <x:c r="AD202" s="12" t="n">
        <x:f>IFERROR(R202/U202,0)</x:f>
        <x:v>0</x:v>
      </x:c>
      <x:c r="AE202" s="10" t="n">
        <x:f>IFERROR(U202/Q202,0)</x:f>
        <x:v>0</x:v>
      </x:c>
      <x:c r="AF202" s="10" t="n">
        <x:f>IF(Q202=0,M202,IF(U202=0,IF(Q202&gt;=10,MAX(0.02,M202*0.7),M202),IF(AD202=0,M202,MAX(0.02,IF(AD202&gt;Summary!$B$2,M202*Summary!$B$2/AD202,MIN(M202*1.2,M202*Summary!$B$2/AD202))))))</x:f>
        <x:v>6</x:v>
      </x:c>
      <x:c r="AG202" s="11" t="n">
        <x:f>IFERROR(AF202/M202-1,0)</x:f>
        <x:v>0</x:v>
      </x:c>
      <x:c r="AH202" t="str">
        <x:f>IF(Q202=0,"Need clicks",IF(AND(U202=0,Q202&gt;=10),"No sales: lower/pause",IF(AND(AD202&gt;Summary!$B$2,T202&gt;0),"Over target: reduce",IF(AND(AD202&lt;=Summary!$B$2,T202&gt;0),"At/under target: scale/hold",IF(AND(Q202&gt;0,T202=0),"Collect data","Review")))))</x:f>
        <x:v>Need clicks</x:v>
      </x:c>
      <x:c r="AI202" s="10" t="n">
        <x:f>IFERROR(IF(U202=0,R202,MAX(0,R202-(U202*Summary!$B$2))),0)</x:f>
        <x:v>0</x:v>
      </x:c>
      <x:c r="AJ202" t="str">
        <x:f>IF(AH202="No sales: lower/pause","Waste",IF(AH202="Over target: reduce","Inefficient",IF(AH202="At/under target: scale/hold","Efficient",IF(AND(O202&gt;=1000,Q202=0),"High imp/no click","Data gathering"))))</x:f>
        <x:v>Data gathering</x:v>
      </x:c>
    </x:row>
    <x:row r="203">
      <x:c r="A203" t="s">
        <x:v>22</x:v>
      </x:c>
      <x:c r="B203" t="s">
        <x:v>123</x:v>
      </x:c>
      <x:c r="C203" t="s">
        <x:v>22</x:v>
      </x:c>
      <x:c r="D203" t="s">
        <x:v>218</x:v>
      </x:c>
      <x:c r="E203" t="s">
        <x:v>63</x:v>
      </x:c>
      <x:c r="F203" t="s">
        <x:v>26</x:v>
      </x:c>
      <x:c r="G203" t="s">
        <x:v>27</x:v>
      </x:c>
      <x:c r="H203" t="s">
        <x:v>282</x:v>
      </x:c>
      <x:c r="I203">
        <x:v>2</x:v>
      </x:c>
      <x:c r="L203">
        <x:v>0</x:v>
      </x:c>
      <x:c r="M203">
        <x:v>6</x:v>
      </x:c>
      <x:c r="N203">
        <x:v>1.18</x:v>
      </x:c>
      <x:c r="O203">
        <x:v>163</x:v>
      </x:c>
      <x:c r="P203">
        <x:v>2.9304029304029302</x:v>
      </x:c>
      <x:c r="Q203">
        <x:v>0</x:v>
      </x:c>
      <x:c r="R203" s="10">
        <x:v>0</x:v>
      </x:c>
      <x:c r="S203">
        <x:v>0</x:v>
      </x:c>
      <x:c r="T203">
        <x:v>0</x:v>
      </x:c>
      <x:c r="U203" s="10">
        <x:v>0</x:v>
      </x:c>
      <x:c r="W203" s="11" t="n">
        <x:f>Summary!$B$2</x:f>
        <x:v>0.15</x:v>
      </x:c>
      <x:c r="X203" s="11" t="n">
        <x:f>IFERROR(AD203-Summary!$B$2,"")</x:f>
        <x:v>-0.15</x:v>
      </x:c>
      <x:c r="Y203" s="10" t="str">
        <x:f>IFERROR((U203/Q203)*Summary!$B$2,"")</x:f>
      </x:c>
      <x:c r="Z203" s="12" t="n">
        <x:f>IFERROR(Q203/O203,0)</x:f>
        <x:v>0</x:v>
      </x:c>
      <x:c r="AA203" s="12" t="n">
        <x:f>IFERROR(T203/Q203,0)</x:f>
        <x:v>0</x:v>
      </x:c>
      <x:c r="AB203" s="10" t="n">
        <x:f>IFERROR(R203/Q203,0)</x:f>
        <x:v>0</x:v>
      </x:c>
      <x:c r="AC203" s="10" t="n">
        <x:f>IFERROR(U203/R203,0)</x:f>
        <x:v>0</x:v>
      </x:c>
      <x:c r="AD203" s="12" t="n">
        <x:f>IFERROR(R203/U203,0)</x:f>
        <x:v>0</x:v>
      </x:c>
      <x:c r="AE203" s="10" t="n">
        <x:f>IFERROR(U203/Q203,0)</x:f>
        <x:v>0</x:v>
      </x:c>
      <x:c r="AF203" s="10" t="n">
        <x:f>IF(Q203=0,M203,IF(U203=0,IF(Q203&gt;=10,MAX(0.02,M203*0.7),M203),IF(AD203=0,M203,MAX(0.02,IF(AD203&gt;Summary!$B$2,M203*Summary!$B$2/AD203,MIN(M203*1.2,M203*Summary!$B$2/AD203))))))</x:f>
        <x:v>6</x:v>
      </x:c>
      <x:c r="AG203" s="11" t="n">
        <x:f>IFERROR(AF203/M203-1,0)</x:f>
        <x:v>0</x:v>
      </x:c>
      <x:c r="AH203" t="str">
        <x:f>IF(Q203=0,"Need clicks",IF(AND(U203=0,Q203&gt;=10),"No sales: lower/pause",IF(AND(AD203&gt;Summary!$B$2,T203&gt;0),"Over target: reduce",IF(AND(AD203&lt;=Summary!$B$2,T203&gt;0),"At/under target: scale/hold",IF(AND(Q203&gt;0,T203=0),"Collect data","Review")))))</x:f>
        <x:v>Need clicks</x:v>
      </x:c>
      <x:c r="AI203" s="10" t="n">
        <x:f>IFERROR(IF(U203=0,R203,MAX(0,R203-(U203*Summary!$B$2))),0)</x:f>
        <x:v>0</x:v>
      </x:c>
      <x:c r="AJ203" t="str">
        <x:f>IF(AH203="No sales: lower/pause","Waste",IF(AH203="Over target: reduce","Inefficient",IF(AH203="At/under target: scale/hold","Efficient",IF(AND(O203&gt;=1000,Q203=0),"High imp/no click","Data gathering"))))</x:f>
        <x:v>Data gathering</x:v>
      </x:c>
    </x:row>
    <x:row r="204">
      <x:c r="A204" t="s">
        <x:v>22</x:v>
      </x:c>
      <x:c r="B204" t="s">
        <x:v>123</x:v>
      </x:c>
      <x:c r="C204" t="s">
        <x:v>22</x:v>
      </x:c>
      <x:c r="D204" t="s">
        <x:v>39</x:v>
      </x:c>
      <x:c r="E204" t="s">
        <x:v>63</x:v>
      </x:c>
      <x:c r="F204" t="s">
        <x:v>26</x:v>
      </x:c>
      <x:c r="G204" t="s">
        <x:v>27</x:v>
      </x:c>
      <x:c r="H204" t="s">
        <x:v>282</x:v>
      </x:c>
      <x:c r="I204">
        <x:v>2</x:v>
      </x:c>
      <x:c r="L204">
        <x:v>0</x:v>
      </x:c>
      <x:c r="M204">
        <x:v>6</x:v>
      </x:c>
      <x:c r="N204">
        <x:v>1.1499999999999999</x:v>
      </x:c>
      <x:c r="O204">
        <x:v>33</x:v>
      </x:c>
      <x:c r="P204" s="1" t="s">
        <x:v>286</x:v>
      </x:c>
      <x:c r="Q204">
        <x:v>0</x:v>
      </x:c>
      <x:c r="R204" s="10">
        <x:v>0</x:v>
      </x:c>
      <x:c r="S204">
        <x:v>0</x:v>
      </x:c>
      <x:c r="T204">
        <x:v>0</x:v>
      </x:c>
      <x:c r="U204" s="10">
        <x:v>0</x:v>
      </x:c>
      <x:c r="W204" s="11" t="n">
        <x:f>Summary!$B$2</x:f>
        <x:v>0.15</x:v>
      </x:c>
      <x:c r="X204" s="11" t="n">
        <x:f>IFERROR(AD204-Summary!$B$2,"")</x:f>
        <x:v>-0.15</x:v>
      </x:c>
      <x:c r="Y204" s="10" t="str">
        <x:f>IFERROR((U204/Q204)*Summary!$B$2,"")</x:f>
      </x:c>
      <x:c r="Z204" s="12" t="n">
        <x:f>IFERROR(Q204/O204,0)</x:f>
        <x:v>0</x:v>
      </x:c>
      <x:c r="AA204" s="12" t="n">
        <x:f>IFERROR(T204/Q204,0)</x:f>
        <x:v>0</x:v>
      </x:c>
      <x:c r="AB204" s="10" t="n">
        <x:f>IFERROR(R204/Q204,0)</x:f>
        <x:v>0</x:v>
      </x:c>
      <x:c r="AC204" s="10" t="n">
        <x:f>IFERROR(U204/R204,0)</x:f>
        <x:v>0</x:v>
      </x:c>
      <x:c r="AD204" s="12" t="n">
        <x:f>IFERROR(R204/U204,0)</x:f>
        <x:v>0</x:v>
      </x:c>
      <x:c r="AE204" s="10" t="n">
        <x:f>IFERROR(U204/Q204,0)</x:f>
        <x:v>0</x:v>
      </x:c>
      <x:c r="AF204" s="10" t="n">
        <x:f>IF(Q204=0,M204,IF(U204=0,IF(Q204&gt;=10,MAX(0.02,M204*0.7),M204),IF(AD204=0,M204,MAX(0.02,IF(AD204&gt;Summary!$B$2,M204*Summary!$B$2/AD204,MIN(M204*1.2,M204*Summary!$B$2/AD204))))))</x:f>
        <x:v>6</x:v>
      </x:c>
      <x:c r="AG204" s="11" t="n">
        <x:f>IFERROR(AF204/M204-1,0)</x:f>
        <x:v>0</x:v>
      </x:c>
      <x:c r="AH204" t="str">
        <x:f>IF(Q204=0,"Need clicks",IF(AND(U204=0,Q204&gt;=10),"No sales: lower/pause",IF(AND(AD204&gt;Summary!$B$2,T204&gt;0),"Over target: reduce",IF(AND(AD204&lt;=Summary!$B$2,T204&gt;0),"At/under target: scale/hold",IF(AND(Q204&gt;0,T204=0),"Collect data","Review")))))</x:f>
        <x:v>Need clicks</x:v>
      </x:c>
      <x:c r="AI204" s="10" t="n">
        <x:f>IFERROR(IF(U204=0,R204,MAX(0,R204-(U204*Summary!$B$2))),0)</x:f>
        <x:v>0</x:v>
      </x:c>
      <x:c r="AJ204" t="str">
        <x:f>IF(AH204="No sales: lower/pause","Waste",IF(AH204="Over target: reduce","Inefficient",IF(AH204="At/under target: scale/hold","Efficient",IF(AND(O204&gt;=1000,Q204=0),"High imp/no click","Data gathering"))))</x:f>
        <x:v>Data gathering</x:v>
      </x:c>
    </x:row>
    <x:row r="205">
      <x:c r="A205" t="s">
        <x:v>22</x:v>
      </x:c>
      <x:c r="B205" t="s">
        <x:v>287</x:v>
      </x:c>
      <x:c r="C205" t="s">
        <x:v>22</x:v>
      </x:c>
      <x:c r="D205" t="s">
        <x:v>218</x:v>
      </x:c>
      <x:c r="E205" t="s">
        <x:v>63</x:v>
      </x:c>
      <x:c r="F205" t="s">
        <x:v>26</x:v>
      </x:c>
      <x:c r="G205" t="s">
        <x:v>27</x:v>
      </x:c>
      <x:c r="H205" t="s">
        <x:v>282</x:v>
      </x:c>
      <x:c r="I205">
        <x:v>2</x:v>
      </x:c>
      <x:c r="L205">
        <x:v>0</x:v>
      </x:c>
      <x:c r="M205">
        <x:v>6</x:v>
      </x:c>
      <x:c r="N205">
        <x:v>1.22</x:v>
      </x:c>
      <x:c r="O205">
        <x:v>393</x:v>
      </x:c>
      <x:c r="P205" s="1" t="s">
        <x:v>288</x:v>
      </x:c>
      <x:c r="Q205">
        <x:v>0</x:v>
      </x:c>
      <x:c r="R205" s="10">
        <x:v>0</x:v>
      </x:c>
      <x:c r="S205">
        <x:v>0</x:v>
      </x:c>
      <x:c r="T205">
        <x:v>0</x:v>
      </x:c>
      <x:c r="U205" s="10">
        <x:v>0</x:v>
      </x:c>
      <x:c r="W205" s="11" t="n">
        <x:f>Summary!$B$2</x:f>
        <x:v>0.15</x:v>
      </x:c>
      <x:c r="X205" s="11" t="n">
        <x:f>IFERROR(AD205-Summary!$B$2,"")</x:f>
        <x:v>-0.15</x:v>
      </x:c>
      <x:c r="Y205" s="10" t="str">
        <x:f>IFERROR((U205/Q205)*Summary!$B$2,"")</x:f>
      </x:c>
      <x:c r="Z205" s="12" t="n">
        <x:f>IFERROR(Q205/O205,0)</x:f>
        <x:v>0</x:v>
      </x:c>
      <x:c r="AA205" s="12" t="n">
        <x:f>IFERROR(T205/Q205,0)</x:f>
        <x:v>0</x:v>
      </x:c>
      <x:c r="AB205" s="10" t="n">
        <x:f>IFERROR(R205/Q205,0)</x:f>
        <x:v>0</x:v>
      </x:c>
      <x:c r="AC205" s="10" t="n">
        <x:f>IFERROR(U205/R205,0)</x:f>
        <x:v>0</x:v>
      </x:c>
      <x:c r="AD205" s="12" t="n">
        <x:f>IFERROR(R205/U205,0)</x:f>
        <x:v>0</x:v>
      </x:c>
      <x:c r="AE205" s="10" t="n">
        <x:f>IFERROR(U205/Q205,0)</x:f>
        <x:v>0</x:v>
      </x:c>
      <x:c r="AF205" s="10" t="n">
        <x:f>IF(Q205=0,M205,IF(U205=0,IF(Q205&gt;=10,MAX(0.02,M205*0.7),M205),IF(AD205=0,M205,MAX(0.02,IF(AD205&gt;Summary!$B$2,M205*Summary!$B$2/AD205,MIN(M205*1.2,M205*Summary!$B$2/AD205))))))</x:f>
        <x:v>6</x:v>
      </x:c>
      <x:c r="AG205" s="11" t="n">
        <x:f>IFERROR(AF205/M205-1,0)</x:f>
        <x:v>0</x:v>
      </x:c>
      <x:c r="AH205" t="str">
        <x:f>IF(Q205=0,"Need clicks",IF(AND(U205=0,Q205&gt;=10),"No sales: lower/pause",IF(AND(AD205&gt;Summary!$B$2,T205&gt;0),"Over target: reduce",IF(AND(AD205&lt;=Summary!$B$2,T205&gt;0),"At/under target: scale/hold",IF(AND(Q205&gt;0,T205=0),"Collect data","Review")))))</x:f>
        <x:v>Need clicks</x:v>
      </x:c>
      <x:c r="AI205" s="10" t="n">
        <x:f>IFERROR(IF(U205=0,R205,MAX(0,R205-(U205*Summary!$B$2))),0)</x:f>
        <x:v>0</x:v>
      </x:c>
      <x:c r="AJ205" t="str">
        <x:f>IF(AH205="No sales: lower/pause","Waste",IF(AH205="Over target: reduce","Inefficient",IF(AH205="At/under target: scale/hold","Efficient",IF(AND(O205&gt;=1000,Q205=0),"High imp/no click","Data gathering"))))</x:f>
        <x:v>Data gathering</x:v>
      </x:c>
    </x:row>
    <x:row r="206">
      <x:c r="A206" t="s">
        <x:v>22</x:v>
      </x:c>
      <x:c r="B206" t="s">
        <x:v>287</x:v>
      </x:c>
      <x:c r="C206" t="s">
        <x:v>22</x:v>
      </x:c>
      <x:c r="D206" t="s">
        <x:v>39</x:v>
      </x:c>
      <x:c r="E206" t="s">
        <x:v>63</x:v>
      </x:c>
      <x:c r="F206" t="s">
        <x:v>26</x:v>
      </x:c>
      <x:c r="G206" t="s">
        <x:v>27</x:v>
      </x:c>
      <x:c r="H206" t="s">
        <x:v>282</x:v>
      </x:c>
      <x:c r="I206">
        <x:v>2</x:v>
      </x:c>
      <x:c r="L206">
        <x:v>0</x:v>
      </x:c>
      <x:c r="M206">
        <x:v>6</x:v>
      </x:c>
      <x:c r="N206">
        <x:v>1.08</x:v>
      </x:c>
      <x:c r="O206">
        <x:v>280</x:v>
      </x:c>
      <x:c r="P206" s="1" t="s">
        <x:v>289</x:v>
      </x:c>
      <x:c r="Q206">
        <x:v>0</x:v>
      </x:c>
      <x:c r="R206" s="10">
        <x:v>0</x:v>
      </x:c>
      <x:c r="S206">
        <x:v>0</x:v>
      </x:c>
      <x:c r="T206">
        <x:v>0</x:v>
      </x:c>
      <x:c r="U206" s="10">
        <x:v>0</x:v>
      </x:c>
      <x:c r="W206" s="11" t="n">
        <x:f>Summary!$B$2</x:f>
        <x:v>0.15</x:v>
      </x:c>
      <x:c r="X206" s="11" t="n">
        <x:f>IFERROR(AD206-Summary!$B$2,"")</x:f>
        <x:v>-0.15</x:v>
      </x:c>
      <x:c r="Y206" s="10" t="str">
        <x:f>IFERROR((U206/Q206)*Summary!$B$2,"")</x:f>
      </x:c>
      <x:c r="Z206" s="12" t="n">
        <x:f>IFERROR(Q206/O206,0)</x:f>
        <x:v>0</x:v>
      </x:c>
      <x:c r="AA206" s="12" t="n">
        <x:f>IFERROR(T206/Q206,0)</x:f>
        <x:v>0</x:v>
      </x:c>
      <x:c r="AB206" s="10" t="n">
        <x:f>IFERROR(R206/Q206,0)</x:f>
        <x:v>0</x:v>
      </x:c>
      <x:c r="AC206" s="10" t="n">
        <x:f>IFERROR(U206/R206,0)</x:f>
        <x:v>0</x:v>
      </x:c>
      <x:c r="AD206" s="12" t="n">
        <x:f>IFERROR(R206/U206,0)</x:f>
        <x:v>0</x:v>
      </x:c>
      <x:c r="AE206" s="10" t="n">
        <x:f>IFERROR(U206/Q206,0)</x:f>
        <x:v>0</x:v>
      </x:c>
      <x:c r="AF206" s="10" t="n">
        <x:f>IF(Q206=0,M206,IF(U206=0,IF(Q206&gt;=10,MAX(0.02,M206*0.7),M206),IF(AD206=0,M206,MAX(0.02,IF(AD206&gt;Summary!$B$2,M206*Summary!$B$2/AD206,MIN(M206*1.2,M206*Summary!$B$2/AD206))))))</x:f>
        <x:v>6</x:v>
      </x:c>
      <x:c r="AG206" s="11" t="n">
        <x:f>IFERROR(AF206/M206-1,0)</x:f>
        <x:v>0</x:v>
      </x:c>
      <x:c r="AH206" t="str">
        <x:f>IF(Q206=0,"Need clicks",IF(AND(U206=0,Q206&gt;=10),"No sales: lower/pause",IF(AND(AD206&gt;Summary!$B$2,T206&gt;0),"Over target: reduce",IF(AND(AD206&lt;=Summary!$B$2,T206&gt;0),"At/under target: scale/hold",IF(AND(Q206&gt;0,T206=0),"Collect data","Review")))))</x:f>
        <x:v>Need clicks</x:v>
      </x:c>
      <x:c r="AI206" s="10" t="n">
        <x:f>IFERROR(IF(U206=0,R206,MAX(0,R206-(U206*Summary!$B$2))),0)</x:f>
        <x:v>0</x:v>
      </x:c>
      <x:c r="AJ206" t="str">
        <x:f>IF(AH206="No sales: lower/pause","Waste",IF(AH206="Over target: reduce","Inefficient",IF(AH206="At/under target: scale/hold","Efficient",IF(AND(O206&gt;=1000,Q206=0),"High imp/no click","Data gathering"))))</x:f>
        <x:v>Data gathering</x:v>
      </x:c>
    </x:row>
    <x:row r="207">
      <x:c r="A207" t="s">
        <x:v>22</x:v>
      </x:c>
      <x:c r="B207" t="s">
        <x:v>290</x:v>
      </x:c>
      <x:c r="C207" t="s">
        <x:v>22</x:v>
      </x:c>
      <x:c r="D207" t="s">
        <x:v>39</x:v>
      </x:c>
      <x:c r="E207" t="s">
        <x:v>63</x:v>
      </x:c>
      <x:c r="F207" t="s">
        <x:v>26</x:v>
      </x:c>
      <x:c r="G207" t="s">
        <x:v>27</x:v>
      </x:c>
      <x:c r="H207" t="s">
        <x:v>291</x:v>
      </x:c>
      <x:c r="I207">
        <x:v>2</x:v>
      </x:c>
      <x:c r="L207">
        <x:v>0</x:v>
      </x:c>
      <x:c r="M207">
        <x:v>3.07</x:v>
      </x:c>
      <x:c r="N207">
        <x:v>6.29</x:v>
      </x:c>
      <x:c r="O207">
        <x:v>22</x:v>
      </x:c>
      <x:c r="P207">
        <x:v>9.7551458394302994E-3</x:v>
      </x:c>
      <x:c r="Q207">
        <x:v>0</x:v>
      </x:c>
      <x:c r="R207" s="10">
        <x:v>0</x:v>
      </x:c>
      <x:c r="S207">
        <x:v>0</x:v>
      </x:c>
      <x:c r="T207">
        <x:v>0</x:v>
      </x:c>
      <x:c r="U207" s="10">
        <x:v>0</x:v>
      </x:c>
      <x:c r="W207" s="11" t="n">
        <x:f>Summary!$B$2</x:f>
        <x:v>0.15</x:v>
      </x:c>
      <x:c r="X207" s="11" t="n">
        <x:f>IFERROR(AD207-Summary!$B$2,"")</x:f>
        <x:v>-0.15</x:v>
      </x:c>
      <x:c r="Y207" s="10" t="str">
        <x:f>IFERROR((U207/Q207)*Summary!$B$2,"")</x:f>
      </x:c>
      <x:c r="Z207" s="12" t="n">
        <x:f>IFERROR(Q207/O207,0)</x:f>
        <x:v>0</x:v>
      </x:c>
      <x:c r="AA207" s="12" t="n">
        <x:f>IFERROR(T207/Q207,0)</x:f>
        <x:v>0</x:v>
      </x:c>
      <x:c r="AB207" s="10" t="n">
        <x:f>IFERROR(R207/Q207,0)</x:f>
        <x:v>0</x:v>
      </x:c>
      <x:c r="AC207" s="10" t="n">
        <x:f>IFERROR(U207/R207,0)</x:f>
        <x:v>0</x:v>
      </x:c>
      <x:c r="AD207" s="12" t="n">
        <x:f>IFERROR(R207/U207,0)</x:f>
        <x:v>0</x:v>
      </x:c>
      <x:c r="AE207" s="10" t="n">
        <x:f>IFERROR(U207/Q207,0)</x:f>
        <x:v>0</x:v>
      </x:c>
      <x:c r="AF207" s="10" t="n">
        <x:f>IF(Q207=0,M207,IF(U207=0,IF(Q207&gt;=10,MAX(0.02,M207*0.7),M207),IF(AD207=0,M207,MAX(0.02,IF(AD207&gt;Summary!$B$2,M207*Summary!$B$2/AD207,MIN(M207*1.2,M207*Summary!$B$2/AD207))))))</x:f>
        <x:v>3.07</x:v>
      </x:c>
      <x:c r="AG207" s="11" t="n">
        <x:f>IFERROR(AF207/M207-1,0)</x:f>
        <x:v>0</x:v>
      </x:c>
      <x:c r="AH207" t="str">
        <x:f>IF(Q207=0,"Need clicks",IF(AND(U207=0,Q207&gt;=10),"No sales: lower/pause",IF(AND(AD207&gt;Summary!$B$2,T207&gt;0),"Over target: reduce",IF(AND(AD207&lt;=Summary!$B$2,T207&gt;0),"At/under target: scale/hold",IF(AND(Q207&gt;0,T207=0),"Collect data","Review")))))</x:f>
        <x:v>Need clicks</x:v>
      </x:c>
      <x:c r="AI207" s="10" t="n">
        <x:f>IFERROR(IF(U207=0,R207,MAX(0,R207-(U207*Summary!$B$2))),0)</x:f>
        <x:v>0</x:v>
      </x:c>
      <x:c r="AJ207" t="str">
        <x:f>IF(AH207="No sales: lower/pause","Waste",IF(AH207="Over target: reduce","Inefficient",IF(AH207="At/under target: scale/hold","Efficient",IF(AND(O207&gt;=1000,Q207=0),"High imp/no click","Data gathering"))))</x:f>
        <x:v>Data gathering</x:v>
      </x:c>
    </x:row>
    <x:row r="208">
      <x:c r="A208" t="s">
        <x:v>22</x:v>
      </x:c>
      <x:c r="B208" t="s">
        <x:v>292</x:v>
      </x:c>
      <x:c r="C208" t="s">
        <x:v>22</x:v>
      </x:c>
      <x:c r="D208" t="s">
        <x:v>24</x:v>
      </x:c>
      <x:c r="E208" t="s">
        <x:v>63</x:v>
      </x:c>
      <x:c r="F208" t="s">
        <x:v>26</x:v>
      </x:c>
      <x:c r="G208" t="s">
        <x:v>27</x:v>
      </x:c>
      <x:c r="H208" t="s">
        <x:v>291</x:v>
      </x:c>
      <x:c r="I208">
        <x:v>2</x:v>
      </x:c>
      <x:c r="L208">
        <x:v>0</x:v>
      </x:c>
      <x:c r="M208">
        <x:v>1.46</x:v>
      </x:c>
      <x:c r="N208">
        <x:v>2.02</x:v>
      </x:c>
      <x:c r="O208">
        <x:v>2</x:v>
      </x:c>
      <x:c r="P208">
        <x:v>0</x:v>
      </x:c>
      <x:c r="Q208">
        <x:v>0</x:v>
      </x:c>
      <x:c r="R208" s="10">
        <x:v>0</x:v>
      </x:c>
      <x:c r="S208">
        <x:v>0</x:v>
      </x:c>
      <x:c r="T208">
        <x:v>0</x:v>
      </x:c>
      <x:c r="U208" s="10">
        <x:v>0</x:v>
      </x:c>
      <x:c r="W208" s="11" t="n">
        <x:f>Summary!$B$2</x:f>
        <x:v>0.15</x:v>
      </x:c>
      <x:c r="X208" s="11" t="n">
        <x:f>IFERROR(AD208-Summary!$B$2,"")</x:f>
        <x:v>-0.15</x:v>
      </x:c>
      <x:c r="Y208" s="10" t="str">
        <x:f>IFERROR((U208/Q208)*Summary!$B$2,"")</x:f>
      </x:c>
      <x:c r="Z208" s="12" t="n">
        <x:f>IFERROR(Q208/O208,0)</x:f>
        <x:v>0</x:v>
      </x:c>
      <x:c r="AA208" s="12" t="n">
        <x:f>IFERROR(T208/Q208,0)</x:f>
        <x:v>0</x:v>
      </x:c>
      <x:c r="AB208" s="10" t="n">
        <x:f>IFERROR(R208/Q208,0)</x:f>
        <x:v>0</x:v>
      </x:c>
      <x:c r="AC208" s="10" t="n">
        <x:f>IFERROR(U208/R208,0)</x:f>
        <x:v>0</x:v>
      </x:c>
      <x:c r="AD208" s="12" t="n">
        <x:f>IFERROR(R208/U208,0)</x:f>
        <x:v>0</x:v>
      </x:c>
      <x:c r="AE208" s="10" t="n">
        <x:f>IFERROR(U208/Q208,0)</x:f>
        <x:v>0</x:v>
      </x:c>
      <x:c r="AF208" s="10" t="n">
        <x:f>IF(Q208=0,M208,IF(U208=0,IF(Q208&gt;=10,MAX(0.02,M208*0.7),M208),IF(AD208=0,M208,MAX(0.02,IF(AD208&gt;Summary!$B$2,M208*Summary!$B$2/AD208,MIN(M208*1.2,M208*Summary!$B$2/AD208))))))</x:f>
        <x:v>1.46</x:v>
      </x:c>
      <x:c r="AG208" s="11" t="n">
        <x:f>IFERROR(AF208/M208-1,0)</x:f>
        <x:v>0</x:v>
      </x:c>
      <x:c r="AH208" t="str">
        <x:f>IF(Q208=0,"Need clicks",IF(AND(U208=0,Q208&gt;=10),"No sales: lower/pause",IF(AND(AD208&gt;Summary!$B$2,T208&gt;0),"Over target: reduce",IF(AND(AD208&lt;=Summary!$B$2,T208&gt;0),"At/under target: scale/hold",IF(AND(Q208&gt;0,T208=0),"Collect data","Review")))))</x:f>
        <x:v>Need clicks</x:v>
      </x:c>
      <x:c r="AI208" s="10" t="n">
        <x:f>IFERROR(IF(U208=0,R208,MAX(0,R208-(U208*Summary!$B$2))),0)</x:f>
        <x:v>0</x:v>
      </x:c>
      <x:c r="AJ208" t="str">
        <x:f>IF(AH208="No sales: lower/pause","Waste",IF(AH208="Over target: reduce","Inefficient",IF(AH208="At/under target: scale/hold","Efficient",IF(AND(O208&gt;=1000,Q208=0),"High imp/no click","Data gathering"))))</x:f>
        <x:v>Data gathering</x:v>
      </x:c>
    </x:row>
    <x:row r="209">
      <x:c r="A209" t="s">
        <x:v>22</x:v>
      </x:c>
      <x:c r="B209" t="s">
        <x:v>293</x:v>
      </x:c>
      <x:c r="C209" t="s">
        <x:v>22</x:v>
      </x:c>
      <x:c r="D209" t="s">
        <x:v>24</x:v>
      </x:c>
      <x:c r="E209" t="s">
        <x:v>63</x:v>
      </x:c>
      <x:c r="F209" t="s">
        <x:v>26</x:v>
      </x:c>
      <x:c r="G209" t="s">
        <x:v>27</x:v>
      </x:c>
      <x:c r="H209" t="s">
        <x:v>291</x:v>
      </x:c>
      <x:c r="I209">
        <x:v>2</x:v>
      </x:c>
      <x:c r="L209">
        <x:v>0</x:v>
      </x:c>
      <x:c r="M209">
        <x:v>1.47</x:v>
      </x:c>
      <x:c r="N209">
        <x:v>6.34</x:v>
      </x:c>
      <x:c r="O209">
        <x:v>9</x:v>
      </x:c>
      <x:c r="P209">
        <x:v>0</x:v>
      </x:c>
      <x:c r="Q209">
        <x:v>0</x:v>
      </x:c>
      <x:c r="R209" s="10">
        <x:v>0</x:v>
      </x:c>
      <x:c r="S209">
        <x:v>0</x:v>
      </x:c>
      <x:c r="T209">
        <x:v>0</x:v>
      </x:c>
      <x:c r="U209" s="10">
        <x:v>0</x:v>
      </x:c>
      <x:c r="W209" s="11" t="n">
        <x:f>Summary!$B$2</x:f>
        <x:v>0.15</x:v>
      </x:c>
      <x:c r="X209" s="11" t="n">
        <x:f>IFERROR(AD209-Summary!$B$2,"")</x:f>
        <x:v>-0.15</x:v>
      </x:c>
      <x:c r="Y209" s="10" t="str">
        <x:f>IFERROR((U209/Q209)*Summary!$B$2,"")</x:f>
      </x:c>
      <x:c r="Z209" s="12" t="n">
        <x:f>IFERROR(Q209/O209,0)</x:f>
        <x:v>0</x:v>
      </x:c>
      <x:c r="AA209" s="12" t="n">
        <x:f>IFERROR(T209/Q209,0)</x:f>
        <x:v>0</x:v>
      </x:c>
      <x:c r="AB209" s="10" t="n">
        <x:f>IFERROR(R209/Q209,0)</x:f>
        <x:v>0</x:v>
      </x:c>
      <x:c r="AC209" s="10" t="n">
        <x:f>IFERROR(U209/R209,0)</x:f>
        <x:v>0</x:v>
      </x:c>
      <x:c r="AD209" s="12" t="n">
        <x:f>IFERROR(R209/U209,0)</x:f>
        <x:v>0</x:v>
      </x:c>
      <x:c r="AE209" s="10" t="n">
        <x:f>IFERROR(U209/Q209,0)</x:f>
        <x:v>0</x:v>
      </x:c>
      <x:c r="AF209" s="10" t="n">
        <x:f>IF(Q209=0,M209,IF(U209=0,IF(Q209&gt;=10,MAX(0.02,M209*0.7),M209),IF(AD209=0,M209,MAX(0.02,IF(AD209&gt;Summary!$B$2,M209*Summary!$B$2/AD209,MIN(M209*1.2,M209*Summary!$B$2/AD209))))))</x:f>
        <x:v>1.47</x:v>
      </x:c>
      <x:c r="AG209" s="11" t="n">
        <x:f>IFERROR(AF209/M209-1,0)</x:f>
        <x:v>0</x:v>
      </x:c>
      <x:c r="AH209" t="str">
        <x:f>IF(Q209=0,"Need clicks",IF(AND(U209=0,Q209&gt;=10),"No sales: lower/pause",IF(AND(AD209&gt;Summary!$B$2,T209&gt;0),"Over target: reduce",IF(AND(AD209&lt;=Summary!$B$2,T209&gt;0),"At/under target: scale/hold",IF(AND(Q209&gt;0,T209=0),"Collect data","Review")))))</x:f>
        <x:v>Need clicks</x:v>
      </x:c>
      <x:c r="AI209" s="10" t="n">
        <x:f>IFERROR(IF(U209=0,R209,MAX(0,R209-(U209*Summary!$B$2))),0)</x:f>
        <x:v>0</x:v>
      </x:c>
      <x:c r="AJ209" t="str">
        <x:f>IF(AH209="No sales: lower/pause","Waste",IF(AH209="Over target: reduce","Inefficient",IF(AH209="At/under target: scale/hold","Efficient",IF(AND(O209&gt;=1000,Q209=0),"High imp/no click","Data gathering"))))</x:f>
        <x:v>Data gathering</x:v>
      </x:c>
    </x:row>
    <x:row r="210">
      <x:c r="A210" t="s">
        <x:v>22</x:v>
      </x:c>
      <x:c r="B210" t="s">
        <x:v>294</x:v>
      </x:c>
      <x:c r="C210" t="s">
        <x:v>22</x:v>
      </x:c>
      <x:c r="D210" t="s">
        <x:v>218</x:v>
      </x:c>
      <x:c r="E210" t="s">
        <x:v>63</x:v>
      </x:c>
      <x:c r="F210" t="s">
        <x:v>26</x:v>
      </x:c>
      <x:c r="G210" t="s">
        <x:v>27</x:v>
      </x:c>
      <x:c r="H210" t="s">
        <x:v>291</x:v>
      </x:c>
      <x:c r="I210">
        <x:v>2</x:v>
      </x:c>
      <x:c r="L210">
        <x:v>0</x:v>
      </x:c>
      <x:c r="M210">
        <x:v>3.03</x:v>
      </x:c>
      <x:c r="N210">
        <x:v>6.6</x:v>
      </x:c>
      <x:c r="O210">
        <x:v>2</x:v>
      </x:c>
      <x:c r="P210">
        <x:v>0</x:v>
      </x:c>
      <x:c r="Q210">
        <x:v>0</x:v>
      </x:c>
      <x:c r="R210" s="10">
        <x:v>0</x:v>
      </x:c>
      <x:c r="S210">
        <x:v>0</x:v>
      </x:c>
      <x:c r="T210">
        <x:v>0</x:v>
      </x:c>
      <x:c r="U210" s="10">
        <x:v>0</x:v>
      </x:c>
      <x:c r="W210" s="11" t="n">
        <x:f>Summary!$B$2</x:f>
        <x:v>0.15</x:v>
      </x:c>
      <x:c r="X210" s="11" t="n">
        <x:f>IFERROR(AD210-Summary!$B$2,"")</x:f>
        <x:v>-0.15</x:v>
      </x:c>
      <x:c r="Y210" s="10" t="str">
        <x:f>IFERROR((U210/Q210)*Summary!$B$2,"")</x:f>
      </x:c>
      <x:c r="Z210" s="12" t="n">
        <x:f>IFERROR(Q210/O210,0)</x:f>
        <x:v>0</x:v>
      </x:c>
      <x:c r="AA210" s="12" t="n">
        <x:f>IFERROR(T210/Q210,0)</x:f>
        <x:v>0</x:v>
      </x:c>
      <x:c r="AB210" s="10" t="n">
        <x:f>IFERROR(R210/Q210,0)</x:f>
        <x:v>0</x:v>
      </x:c>
      <x:c r="AC210" s="10" t="n">
        <x:f>IFERROR(U210/R210,0)</x:f>
        <x:v>0</x:v>
      </x:c>
      <x:c r="AD210" s="12" t="n">
        <x:f>IFERROR(R210/U210,0)</x:f>
        <x:v>0</x:v>
      </x:c>
      <x:c r="AE210" s="10" t="n">
        <x:f>IFERROR(U210/Q210,0)</x:f>
        <x:v>0</x:v>
      </x:c>
      <x:c r="AF210" s="10" t="n">
        <x:f>IF(Q210=0,M210,IF(U210=0,IF(Q210&gt;=10,MAX(0.02,M210*0.7),M210),IF(AD210=0,M210,MAX(0.02,IF(AD210&gt;Summary!$B$2,M210*Summary!$B$2/AD210,MIN(M210*1.2,M210*Summary!$B$2/AD210))))))</x:f>
        <x:v>3.03</x:v>
      </x:c>
      <x:c r="AG210" s="11" t="n">
        <x:f>IFERROR(AF210/M210-1,0)</x:f>
        <x:v>0</x:v>
      </x:c>
      <x:c r="AH210" t="str">
        <x:f>IF(Q210=0,"Need clicks",IF(AND(U210=0,Q210&gt;=10),"No sales: lower/pause",IF(AND(AD210&gt;Summary!$B$2,T210&gt;0),"Over target: reduce",IF(AND(AD210&lt;=Summary!$B$2,T210&gt;0),"At/under target: scale/hold",IF(AND(Q210&gt;0,T210=0),"Collect data","Review")))))</x:f>
        <x:v>Need clicks</x:v>
      </x:c>
      <x:c r="AI210" s="10" t="n">
        <x:f>IFERROR(IF(U210=0,R210,MAX(0,R210-(U210*Summary!$B$2))),0)</x:f>
        <x:v>0</x:v>
      </x:c>
      <x:c r="AJ210" t="str">
        <x:f>IF(AH210="No sales: lower/pause","Waste",IF(AH210="Over target: reduce","Inefficient",IF(AH210="At/under target: scale/hold","Efficient",IF(AND(O210&gt;=1000,Q210=0),"High imp/no click","Data gathering"))))</x:f>
        <x:v>Data gathering</x:v>
      </x:c>
    </x:row>
    <x:row r="211">
      <x:c r="A211" t="s">
        <x:v>22</x:v>
      </x:c>
      <x:c r="B211" t="s">
        <x:v>295</x:v>
      </x:c>
      <x:c r="C211" t="s">
        <x:v>22</x:v>
      </x:c>
      <x:c r="D211" t="s">
        <x:v>218</x:v>
      </x:c>
      <x:c r="E211" t="s">
        <x:v>63</x:v>
      </x:c>
      <x:c r="F211" t="s">
        <x:v>26</x:v>
      </x:c>
      <x:c r="G211" t="s">
        <x:v>27</x:v>
      </x:c>
      <x:c r="H211" t="s">
        <x:v>291</x:v>
      </x:c>
      <x:c r="I211">
        <x:v>2</x:v>
      </x:c>
      <x:c r="L211">
        <x:v>0</x:v>
      </x:c>
      <x:c r="M211">
        <x:v>4</x:v>
      </x:c>
      <x:c r="O211">
        <x:v>1</x:v>
      </x:c>
      <x:c r="P211">
        <x:v>0</x:v>
      </x:c>
      <x:c r="Q211">
        <x:v>0</x:v>
      </x:c>
      <x:c r="R211" s="10">
        <x:v>0</x:v>
      </x:c>
      <x:c r="S211">
        <x:v>0</x:v>
      </x:c>
      <x:c r="T211">
        <x:v>0</x:v>
      </x:c>
      <x:c r="U211" s="10">
        <x:v>0</x:v>
      </x:c>
      <x:c r="W211" s="11" t="n">
        <x:f>Summary!$B$2</x:f>
        <x:v>0.15</x:v>
      </x:c>
      <x:c r="X211" s="11" t="n">
        <x:f>IFERROR(AD211-Summary!$B$2,"")</x:f>
        <x:v>-0.15</x:v>
      </x:c>
      <x:c r="Y211" s="10" t="str">
        <x:f>IFERROR((U211/Q211)*Summary!$B$2,"")</x:f>
      </x:c>
      <x:c r="Z211" s="12" t="n">
        <x:f>IFERROR(Q211/O211,0)</x:f>
        <x:v>0</x:v>
      </x:c>
      <x:c r="AA211" s="12" t="n">
        <x:f>IFERROR(T211/Q211,0)</x:f>
        <x:v>0</x:v>
      </x:c>
      <x:c r="AB211" s="10" t="n">
        <x:f>IFERROR(R211/Q211,0)</x:f>
        <x:v>0</x:v>
      </x:c>
      <x:c r="AC211" s="10" t="n">
        <x:f>IFERROR(U211/R211,0)</x:f>
        <x:v>0</x:v>
      </x:c>
      <x:c r="AD211" s="12" t="n">
        <x:f>IFERROR(R211/U211,0)</x:f>
        <x:v>0</x:v>
      </x:c>
      <x:c r="AE211" s="10" t="n">
        <x:f>IFERROR(U211/Q211,0)</x:f>
        <x:v>0</x:v>
      </x:c>
      <x:c r="AF211" s="10" t="n">
        <x:f>IF(Q211=0,M211,IF(U211=0,IF(Q211&gt;=10,MAX(0.02,M211*0.7),M211),IF(AD211=0,M211,MAX(0.02,IF(AD211&gt;Summary!$B$2,M211*Summary!$B$2/AD211,MIN(M211*1.2,M211*Summary!$B$2/AD211))))))</x:f>
        <x:v>4</x:v>
      </x:c>
      <x:c r="AG211" s="11" t="n">
        <x:f>IFERROR(AF211/M211-1,0)</x:f>
        <x:v>0</x:v>
      </x:c>
      <x:c r="AH211" t="str">
        <x:f>IF(Q211=0,"Need clicks",IF(AND(U211=0,Q211&gt;=10),"No sales: lower/pause",IF(AND(AD211&gt;Summary!$B$2,T211&gt;0),"Over target: reduce",IF(AND(AD211&lt;=Summary!$B$2,T211&gt;0),"At/under target: scale/hold",IF(AND(Q211&gt;0,T211=0),"Collect data","Review")))))</x:f>
        <x:v>Need clicks</x:v>
      </x:c>
      <x:c r="AI211" s="10" t="n">
        <x:f>IFERROR(IF(U211=0,R211,MAX(0,R211-(U211*Summary!$B$2))),0)</x:f>
        <x:v>0</x:v>
      </x:c>
      <x:c r="AJ211" t="str">
        <x:f>IF(AH211="No sales: lower/pause","Waste",IF(AH211="Over target: reduce","Inefficient",IF(AH211="At/under target: scale/hold","Efficient",IF(AND(O211&gt;=1000,Q211=0),"High imp/no click","Data gathering"))))</x:f>
        <x:v>Data gathering</x:v>
      </x:c>
    </x:row>
    <x:row r="212">
      <x:c r="A212" t="s">
        <x:v>22</x:v>
      </x:c>
      <x:c r="B212" t="s">
        <x:v>296</x:v>
      </x:c>
      <x:c r="C212" t="s">
        <x:v>22</x:v>
      </x:c>
      <x:c r="D212" t="s">
        <x:v>39</x:v>
      </x:c>
      <x:c r="E212" t="s">
        <x:v>63</x:v>
      </x:c>
      <x:c r="F212" t="s">
        <x:v>26</x:v>
      </x:c>
      <x:c r="G212" t="s">
        <x:v>27</x:v>
      </x:c>
      <x:c r="H212" t="s">
        <x:v>291</x:v>
      </x:c>
      <x:c r="I212">
        <x:v>2</x:v>
      </x:c>
      <x:c r="L212">
        <x:v>0</x:v>
      </x:c>
      <x:c r="M212">
        <x:v>2.2999999999999998</x:v>
      </x:c>
      <x:c r="N212">
        <x:v>2.65</x:v>
      </x:c>
      <x:c r="O212">
        <x:v>306</x:v>
      </x:c>
      <x:c r="P212">
        <x:v>0</x:v>
      </x:c>
      <x:c r="Q212">
        <x:v>0</x:v>
      </x:c>
      <x:c r="R212" s="10">
        <x:v>0</x:v>
      </x:c>
      <x:c r="S212">
        <x:v>0</x:v>
      </x:c>
      <x:c r="T212">
        <x:v>0</x:v>
      </x:c>
      <x:c r="U212" s="10">
        <x:v>0</x:v>
      </x:c>
      <x:c r="W212" s="11" t="n">
        <x:f>Summary!$B$2</x:f>
        <x:v>0.15</x:v>
      </x:c>
      <x:c r="X212" s="11" t="n">
        <x:f>IFERROR(AD212-Summary!$B$2,"")</x:f>
        <x:v>-0.15</x:v>
      </x:c>
      <x:c r="Y212" s="10" t="str">
        <x:f>IFERROR((U212/Q212)*Summary!$B$2,"")</x:f>
      </x:c>
      <x:c r="Z212" s="12" t="n">
        <x:f>IFERROR(Q212/O212,0)</x:f>
        <x:v>0</x:v>
      </x:c>
      <x:c r="AA212" s="12" t="n">
        <x:f>IFERROR(T212/Q212,0)</x:f>
        <x:v>0</x:v>
      </x:c>
      <x:c r="AB212" s="10" t="n">
        <x:f>IFERROR(R212/Q212,0)</x:f>
        <x:v>0</x:v>
      </x:c>
      <x:c r="AC212" s="10" t="n">
        <x:f>IFERROR(U212/R212,0)</x:f>
        <x:v>0</x:v>
      </x:c>
      <x:c r="AD212" s="12" t="n">
        <x:f>IFERROR(R212/U212,0)</x:f>
        <x:v>0</x:v>
      </x:c>
      <x:c r="AE212" s="10" t="n">
        <x:f>IFERROR(U212/Q212,0)</x:f>
        <x:v>0</x:v>
      </x:c>
      <x:c r="AF212" s="10" t="n">
        <x:f>IF(Q212=0,M212,IF(U212=0,IF(Q212&gt;=10,MAX(0.02,M212*0.7),M212),IF(AD212=0,M212,MAX(0.02,IF(AD212&gt;Summary!$B$2,M212*Summary!$B$2/AD212,MIN(M212*1.2,M212*Summary!$B$2/AD212))))))</x:f>
        <x:v>2.3</x:v>
      </x:c>
      <x:c r="AG212" s="11" t="n">
        <x:f>IFERROR(AF212/M212-1,0)</x:f>
        <x:v>0</x:v>
      </x:c>
      <x:c r="AH212" t="str">
        <x:f>IF(Q212=0,"Need clicks",IF(AND(U212=0,Q212&gt;=10),"No sales: lower/pause",IF(AND(AD212&gt;Summary!$B$2,T212&gt;0),"Over target: reduce",IF(AND(AD212&lt;=Summary!$B$2,T212&gt;0),"At/under target: scale/hold",IF(AND(Q212&gt;0,T212=0),"Collect data","Review")))))</x:f>
        <x:v>Need clicks</x:v>
      </x:c>
      <x:c r="AI212" s="10" t="n">
        <x:f>IFERROR(IF(U212=0,R212,MAX(0,R212-(U212*Summary!$B$2))),0)</x:f>
        <x:v>0</x:v>
      </x:c>
      <x:c r="AJ212" t="str">
        <x:f>IF(AH212="No sales: lower/pause","Waste",IF(AH212="Over target: reduce","Inefficient",IF(AH212="At/under target: scale/hold","Efficient",IF(AND(O212&gt;=1000,Q212=0),"High imp/no click","Data gathering"))))</x:f>
        <x:v>Data gathering</x:v>
      </x:c>
    </x:row>
    <x:row r="213">
      <x:c r="A213" t="s">
        <x:v>22</x:v>
      </x:c>
      <x:c r="B213" t="s">
        <x:v>297</x:v>
      </x:c>
      <x:c r="C213" t="s">
        <x:v>22</x:v>
      </x:c>
      <x:c r="D213" t="s">
        <x:v>24</x:v>
      </x:c>
      <x:c r="E213" t="s">
        <x:v>63</x:v>
      </x:c>
      <x:c r="F213" t="s">
        <x:v>26</x:v>
      </x:c>
      <x:c r="G213" t="s">
        <x:v>27</x:v>
      </x:c>
      <x:c r="H213" t="s">
        <x:v>87</x:v>
      </x:c>
      <x:c r="I213">
        <x:v>1</x:v>
      </x:c>
      <x:c r="L213">
        <x:v>0</x:v>
      </x:c>
      <x:c r="M213">
        <x:v>1.27</x:v>
      </x:c>
      <x:c r="N213">
        <x:v>2.8</x:v>
      </x:c>
      <x:c r="O213">
        <x:v>15</x:v>
      </x:c>
      <x:c r="P213" s="1" t="s">
        <x:v>298</x:v>
      </x:c>
      <x:c r="Q213">
        <x:v>0</x:v>
      </x:c>
      <x:c r="R213" s="10">
        <x:v>0</x:v>
      </x:c>
      <x:c r="S213">
        <x:v>0</x:v>
      </x:c>
      <x:c r="T213">
        <x:v>0</x:v>
      </x:c>
      <x:c r="U213" s="10">
        <x:v>0</x:v>
      </x:c>
      <x:c r="W213" s="11" t="n">
        <x:f>Summary!$B$2</x:f>
        <x:v>0.15</x:v>
      </x:c>
      <x:c r="X213" s="11" t="n">
        <x:f>IFERROR(AD213-Summary!$B$2,"")</x:f>
        <x:v>-0.15</x:v>
      </x:c>
      <x:c r="Y213" s="10" t="str">
        <x:f>IFERROR((U213/Q213)*Summary!$B$2,"")</x:f>
      </x:c>
      <x:c r="Z213" s="12" t="n">
        <x:f>IFERROR(Q213/O213,0)</x:f>
        <x:v>0</x:v>
      </x:c>
      <x:c r="AA213" s="12" t="n">
        <x:f>IFERROR(T213/Q213,0)</x:f>
        <x:v>0</x:v>
      </x:c>
      <x:c r="AB213" s="10" t="n">
        <x:f>IFERROR(R213/Q213,0)</x:f>
        <x:v>0</x:v>
      </x:c>
      <x:c r="AC213" s="10" t="n">
        <x:f>IFERROR(U213/R213,0)</x:f>
        <x:v>0</x:v>
      </x:c>
      <x:c r="AD213" s="12" t="n">
        <x:f>IFERROR(R213/U213,0)</x:f>
        <x:v>0</x:v>
      </x:c>
      <x:c r="AE213" s="10" t="n">
        <x:f>IFERROR(U213/Q213,0)</x:f>
        <x:v>0</x:v>
      </x:c>
      <x:c r="AF213" s="10" t="n">
        <x:f>IF(Q213=0,M213,IF(U213=0,IF(Q213&gt;=10,MAX(0.02,M213*0.7),M213),IF(AD213=0,M213,MAX(0.02,IF(AD213&gt;Summary!$B$2,M213*Summary!$B$2/AD213,MIN(M213*1.2,M213*Summary!$B$2/AD213))))))</x:f>
        <x:v>1.27</x:v>
      </x:c>
      <x:c r="AG213" s="11" t="n">
        <x:f>IFERROR(AF213/M213-1,0)</x:f>
        <x:v>0</x:v>
      </x:c>
      <x:c r="AH213" t="str">
        <x:f>IF(Q213=0,"Need clicks",IF(AND(U213=0,Q213&gt;=10),"No sales: lower/pause",IF(AND(AD213&gt;Summary!$B$2,T213&gt;0),"Over target: reduce",IF(AND(AD213&lt;=Summary!$B$2,T213&gt;0),"At/under target: scale/hold",IF(AND(Q213&gt;0,T213=0),"Collect data","Review")))))</x:f>
        <x:v>Need clicks</x:v>
      </x:c>
      <x:c r="AI213" s="10" t="n">
        <x:f>IFERROR(IF(U213=0,R213,MAX(0,R213-(U213*Summary!$B$2))),0)</x:f>
        <x:v>0</x:v>
      </x:c>
      <x:c r="AJ213" t="str">
        <x:f>IF(AH213="No sales: lower/pause","Waste",IF(AH213="Over target: reduce","Inefficient",IF(AH213="At/under target: scale/hold","Efficient",IF(AND(O213&gt;=1000,Q213=0),"High imp/no click","Data gathering"))))</x:f>
        <x:v>Data gathering</x:v>
      </x:c>
    </x:row>
    <x:row r="214">
      <x:c r="A214" t="s">
        <x:v>22</x:v>
      </x:c>
      <x:c r="B214" t="s">
        <x:v>299</x:v>
      </x:c>
      <x:c r="C214" t="s">
        <x:v>22</x:v>
      </x:c>
      <x:c r="D214" t="s">
        <x:v>24</x:v>
      </x:c>
      <x:c r="E214" t="s">
        <x:v>63</x:v>
      </x:c>
      <x:c r="F214" t="s">
        <x:v>26</x:v>
      </x:c>
      <x:c r="G214" t="s">
        <x:v>27</x:v>
      </x:c>
      <x:c r="H214" t="s">
        <x:v>87</x:v>
      </x:c>
      <x:c r="I214">
        <x:v>1</x:v>
      </x:c>
      <x:c r="L214">
        <x:v>0</x:v>
      </x:c>
      <x:c r="M214">
        <x:v>2.7</x:v>
      </x:c>
      <x:c r="N214">
        <x:v>2.7</x:v>
      </x:c>
      <x:c r="O214">
        <x:v>227</x:v>
      </x:c>
      <x:c r="P214" s="1" t="s">
        <x:v>300</x:v>
      </x:c>
      <x:c r="Q214">
        <x:v>0</x:v>
      </x:c>
      <x:c r="R214" s="10">
        <x:v>0</x:v>
      </x:c>
      <x:c r="S214">
        <x:v>0</x:v>
      </x:c>
      <x:c r="T214">
        <x:v>0</x:v>
      </x:c>
      <x:c r="U214" s="10">
        <x:v>0</x:v>
      </x:c>
      <x:c r="W214" s="11" t="n">
        <x:f>Summary!$B$2</x:f>
        <x:v>0.15</x:v>
      </x:c>
      <x:c r="X214" s="11" t="n">
        <x:f>IFERROR(AD214-Summary!$B$2,"")</x:f>
        <x:v>-0.15</x:v>
      </x:c>
      <x:c r="Y214" s="10" t="str">
        <x:f>IFERROR((U214/Q214)*Summary!$B$2,"")</x:f>
      </x:c>
      <x:c r="Z214" s="12" t="n">
        <x:f>IFERROR(Q214/O214,0)</x:f>
        <x:v>0</x:v>
      </x:c>
      <x:c r="AA214" s="12" t="n">
        <x:f>IFERROR(T214/Q214,0)</x:f>
        <x:v>0</x:v>
      </x:c>
      <x:c r="AB214" s="10" t="n">
        <x:f>IFERROR(R214/Q214,0)</x:f>
        <x:v>0</x:v>
      </x:c>
      <x:c r="AC214" s="10" t="n">
        <x:f>IFERROR(U214/R214,0)</x:f>
        <x:v>0</x:v>
      </x:c>
      <x:c r="AD214" s="12" t="n">
        <x:f>IFERROR(R214/U214,0)</x:f>
        <x:v>0</x:v>
      </x:c>
      <x:c r="AE214" s="10" t="n">
        <x:f>IFERROR(U214/Q214,0)</x:f>
        <x:v>0</x:v>
      </x:c>
      <x:c r="AF214" s="10" t="n">
        <x:f>IF(Q214=0,M214,IF(U214=0,IF(Q214&gt;=10,MAX(0.02,M214*0.7),M214),IF(AD214=0,M214,MAX(0.02,IF(AD214&gt;Summary!$B$2,M214*Summary!$B$2/AD214,MIN(M214*1.2,M214*Summary!$B$2/AD214))))))</x:f>
        <x:v>2.7</x:v>
      </x:c>
      <x:c r="AG214" s="11" t="n">
        <x:f>IFERROR(AF214/M214-1,0)</x:f>
        <x:v>0</x:v>
      </x:c>
      <x:c r="AH214" t="str">
        <x:f>IF(Q214=0,"Need clicks",IF(AND(U214=0,Q214&gt;=10),"No sales: lower/pause",IF(AND(AD214&gt;Summary!$B$2,T214&gt;0),"Over target: reduce",IF(AND(AD214&lt;=Summary!$B$2,T214&gt;0),"At/under target: scale/hold",IF(AND(Q214&gt;0,T214=0),"Collect data","Review")))))</x:f>
        <x:v>Need clicks</x:v>
      </x:c>
      <x:c r="AI214" s="10" t="n">
        <x:f>IFERROR(IF(U214=0,R214,MAX(0,R214-(U214*Summary!$B$2))),0)</x:f>
        <x:v>0</x:v>
      </x:c>
      <x:c r="AJ214" t="str">
        <x:f>IF(AH214="No sales: lower/pause","Waste",IF(AH214="Over target: reduce","Inefficient",IF(AH214="At/under target: scale/hold","Efficient",IF(AND(O214&gt;=1000,Q214=0),"High imp/no click","Data gathering"))))</x:f>
        <x:v>Data gathering</x:v>
      </x:c>
    </x:row>
    <x:row r="215">
      <x:c r="A215" t="s">
        <x:v>22</x:v>
      </x:c>
      <x:c r="B215" t="s">
        <x:v>301</x:v>
      </x:c>
      <x:c r="C215" t="s">
        <x:v>22</x:v>
      </x:c>
      <x:c r="D215" t="s">
        <x:v>218</x:v>
      </x:c>
      <x:c r="E215" t="s">
        <x:v>63</x:v>
      </x:c>
      <x:c r="F215" t="s">
        <x:v>26</x:v>
      </x:c>
      <x:c r="G215" t="s">
        <x:v>27</x:v>
      </x:c>
      <x:c r="H215" t="s">
        <x:v>302</x:v>
      </x:c>
      <x:c r="I215">
        <x:v>14</x:v>
      </x:c>
      <x:c r="L215">
        <x:v>0</x:v>
      </x:c>
      <x:c r="M215">
        <x:v>3</x:v>
      </x:c>
      <x:c r="N215">
        <x:v>3.96</x:v>
      </x:c>
      <x:c r="O215">
        <x:v>10</x:v>
      </x:c>
      <x:c r="P215">
        <x:v>0</x:v>
      </x:c>
      <x:c r="Q215">
        <x:v>0</x:v>
      </x:c>
      <x:c r="R215" s="10">
        <x:v>0</x:v>
      </x:c>
      <x:c r="S215">
        <x:v>0</x:v>
      </x:c>
      <x:c r="T215">
        <x:v>0</x:v>
      </x:c>
      <x:c r="U215" s="10">
        <x:v>0</x:v>
      </x:c>
      <x:c r="W215" s="11" t="n">
        <x:f>Summary!$B$2</x:f>
        <x:v>0.15</x:v>
      </x:c>
      <x:c r="X215" s="11" t="n">
        <x:f>IFERROR(AD215-Summary!$B$2,"")</x:f>
        <x:v>-0.15</x:v>
      </x:c>
      <x:c r="Y215" s="10" t="str">
        <x:f>IFERROR((U215/Q215)*Summary!$B$2,"")</x:f>
      </x:c>
      <x:c r="Z215" s="12" t="n">
        <x:f>IFERROR(Q215/O215,0)</x:f>
        <x:v>0</x:v>
      </x:c>
      <x:c r="AA215" s="12" t="n">
        <x:f>IFERROR(T215/Q215,0)</x:f>
        <x:v>0</x:v>
      </x:c>
      <x:c r="AB215" s="10" t="n">
        <x:f>IFERROR(R215/Q215,0)</x:f>
        <x:v>0</x:v>
      </x:c>
      <x:c r="AC215" s="10" t="n">
        <x:f>IFERROR(U215/R215,0)</x:f>
        <x:v>0</x:v>
      </x:c>
      <x:c r="AD215" s="12" t="n">
        <x:f>IFERROR(R215/U215,0)</x:f>
        <x:v>0</x:v>
      </x:c>
      <x:c r="AE215" s="10" t="n">
        <x:f>IFERROR(U215/Q215,0)</x:f>
        <x:v>0</x:v>
      </x:c>
      <x:c r="AF215" s="10" t="n">
        <x:f>IF(Q215=0,M215,IF(U215=0,IF(Q215&gt;=10,MAX(0.02,M215*0.7),M215),IF(AD215=0,M215,MAX(0.02,IF(AD215&gt;Summary!$B$2,M215*Summary!$B$2/AD215,MIN(M215*1.2,M215*Summary!$B$2/AD215))))))</x:f>
        <x:v>3</x:v>
      </x:c>
      <x:c r="AG215" s="11" t="n">
        <x:f>IFERROR(AF215/M215-1,0)</x:f>
        <x:v>0</x:v>
      </x:c>
      <x:c r="AH215" t="str">
        <x:f>IF(Q215=0,"Need clicks",IF(AND(U215=0,Q215&gt;=10),"No sales: lower/pause",IF(AND(AD215&gt;Summary!$B$2,T215&gt;0),"Over target: reduce",IF(AND(AD215&lt;=Summary!$B$2,T215&gt;0),"At/under target: scale/hold",IF(AND(Q215&gt;0,T215=0),"Collect data","Review")))))</x:f>
        <x:v>Need clicks</x:v>
      </x:c>
      <x:c r="AI215" s="10" t="n">
        <x:f>IFERROR(IF(U215=0,R215,MAX(0,R215-(U215*Summary!$B$2))),0)</x:f>
        <x:v>0</x:v>
      </x:c>
      <x:c r="AJ215" t="str">
        <x:f>IF(AH215="No sales: lower/pause","Waste",IF(AH215="Over target: reduce","Inefficient",IF(AH215="At/under target: scale/hold","Efficient",IF(AND(O215&gt;=1000,Q215=0),"High imp/no click","Data gathering"))))</x:f>
        <x:v>Data gathering</x:v>
      </x:c>
    </x:row>
    <x:row r="216">
      <x:c r="A216" t="s">
        <x:v>22</x:v>
      </x:c>
      <x:c r="B216" t="s">
        <x:v>303</x:v>
      </x:c>
      <x:c r="C216" t="s">
        <x:v>22</x:v>
      </x:c>
      <x:c r="D216" t="s">
        <x:v>24</x:v>
      </x:c>
      <x:c r="E216" t="s">
        <x:v>63</x:v>
      </x:c>
      <x:c r="F216" t="s">
        <x:v>26</x:v>
      </x:c>
      <x:c r="G216" t="s">
        <x:v>27</x:v>
      </x:c>
      <x:c r="H216" t="s">
        <x:v>302</x:v>
      </x:c>
      <x:c r="I216">
        <x:v>14</x:v>
      </x:c>
      <x:c r="L216">
        <x:v>0</x:v>
      </x:c>
      <x:c r="M216">
        <x:v>3</x:v>
      </x:c>
      <x:c r="N216">
        <x:v>3.67</x:v>
      </x:c>
      <x:c r="O216">
        <x:v>16</x:v>
      </x:c>
      <x:c r="P216">
        <x:v>0</x:v>
      </x:c>
      <x:c r="Q216">
        <x:v>0</x:v>
      </x:c>
      <x:c r="R216" s="10">
        <x:v>0</x:v>
      </x:c>
      <x:c r="S216">
        <x:v>0</x:v>
      </x:c>
      <x:c r="T216">
        <x:v>0</x:v>
      </x:c>
      <x:c r="U216" s="10">
        <x:v>0</x:v>
      </x:c>
      <x:c r="W216" s="11" t="n">
        <x:f>Summary!$B$2</x:f>
        <x:v>0.15</x:v>
      </x:c>
      <x:c r="X216" s="11" t="n">
        <x:f>IFERROR(AD216-Summary!$B$2,"")</x:f>
        <x:v>-0.15</x:v>
      </x:c>
      <x:c r="Y216" s="10" t="str">
        <x:f>IFERROR((U216/Q216)*Summary!$B$2,"")</x:f>
      </x:c>
      <x:c r="Z216" s="12" t="n">
        <x:f>IFERROR(Q216/O216,0)</x:f>
        <x:v>0</x:v>
      </x:c>
      <x:c r="AA216" s="12" t="n">
        <x:f>IFERROR(T216/Q216,0)</x:f>
        <x:v>0</x:v>
      </x:c>
      <x:c r="AB216" s="10" t="n">
        <x:f>IFERROR(R216/Q216,0)</x:f>
        <x:v>0</x:v>
      </x:c>
      <x:c r="AC216" s="10" t="n">
        <x:f>IFERROR(U216/R216,0)</x:f>
        <x:v>0</x:v>
      </x:c>
      <x:c r="AD216" s="12" t="n">
        <x:f>IFERROR(R216/U216,0)</x:f>
        <x:v>0</x:v>
      </x:c>
      <x:c r="AE216" s="10" t="n">
        <x:f>IFERROR(U216/Q216,0)</x:f>
        <x:v>0</x:v>
      </x:c>
      <x:c r="AF216" s="10" t="n">
        <x:f>IF(Q216=0,M216,IF(U216=0,IF(Q216&gt;=10,MAX(0.02,M216*0.7),M216),IF(AD216=0,M216,MAX(0.02,IF(AD216&gt;Summary!$B$2,M216*Summary!$B$2/AD216,MIN(M216*1.2,M216*Summary!$B$2/AD216))))))</x:f>
        <x:v>3</x:v>
      </x:c>
      <x:c r="AG216" s="11" t="n">
        <x:f>IFERROR(AF216/M216-1,0)</x:f>
        <x:v>0</x:v>
      </x:c>
      <x:c r="AH216" t="str">
        <x:f>IF(Q216=0,"Need clicks",IF(AND(U216=0,Q216&gt;=10),"No sales: lower/pause",IF(AND(AD216&gt;Summary!$B$2,T216&gt;0),"Over target: reduce",IF(AND(AD216&lt;=Summary!$B$2,T216&gt;0),"At/under target: scale/hold",IF(AND(Q216&gt;0,T216=0),"Collect data","Review")))))</x:f>
        <x:v>Need clicks</x:v>
      </x:c>
      <x:c r="AI216" s="10" t="n">
        <x:f>IFERROR(IF(U216=0,R216,MAX(0,R216-(U216*Summary!$B$2))),0)</x:f>
        <x:v>0</x:v>
      </x:c>
      <x:c r="AJ216" t="str">
        <x:f>IF(AH216="No sales: lower/pause","Waste",IF(AH216="Over target: reduce","Inefficient",IF(AH216="At/under target: scale/hold","Efficient",IF(AND(O216&gt;=1000,Q216=0),"High imp/no click","Data gathering"))))</x:f>
        <x:v>Data gathering</x:v>
      </x:c>
    </x:row>
    <x:row r="217">
      <x:c r="A217" t="s">
        <x:v>22</x:v>
      </x:c>
      <x:c r="B217" t="s">
        <x:v>303</x:v>
      </x:c>
      <x:c r="C217" t="s">
        <x:v>22</x:v>
      </x:c>
      <x:c r="D217" t="s">
        <x:v>218</x:v>
      </x:c>
      <x:c r="E217" t="s">
        <x:v>63</x:v>
      </x:c>
      <x:c r="F217" t="s">
        <x:v>26</x:v>
      </x:c>
      <x:c r="G217" t="s">
        <x:v>27</x:v>
      </x:c>
      <x:c r="H217" t="s">
        <x:v>302</x:v>
      </x:c>
      <x:c r="I217">
        <x:v>14</x:v>
      </x:c>
      <x:c r="L217">
        <x:v>0</x:v>
      </x:c>
      <x:c r="M217">
        <x:v>3</x:v>
      </x:c>
      <x:c r="N217">
        <x:v>2.87</x:v>
      </x:c>
      <x:c r="O217">
        <x:v>6</x:v>
      </x:c>
      <x:c r="P217" s="1" t="s">
        <x:v>304</x:v>
      </x:c>
      <x:c r="Q217">
        <x:v>0</x:v>
      </x:c>
      <x:c r="R217" s="10">
        <x:v>0</x:v>
      </x:c>
      <x:c r="S217">
        <x:v>0</x:v>
      </x:c>
      <x:c r="T217">
        <x:v>0</x:v>
      </x:c>
      <x:c r="U217" s="10">
        <x:v>0</x:v>
      </x:c>
      <x:c r="W217" s="11" t="n">
        <x:f>Summary!$B$2</x:f>
        <x:v>0.15</x:v>
      </x:c>
      <x:c r="X217" s="11" t="n">
        <x:f>IFERROR(AD217-Summary!$B$2,"")</x:f>
        <x:v>-0.15</x:v>
      </x:c>
      <x:c r="Y217" s="10" t="str">
        <x:f>IFERROR((U217/Q217)*Summary!$B$2,"")</x:f>
      </x:c>
      <x:c r="Z217" s="12" t="n">
        <x:f>IFERROR(Q217/O217,0)</x:f>
        <x:v>0</x:v>
      </x:c>
      <x:c r="AA217" s="12" t="n">
        <x:f>IFERROR(T217/Q217,0)</x:f>
        <x:v>0</x:v>
      </x:c>
      <x:c r="AB217" s="10" t="n">
        <x:f>IFERROR(R217/Q217,0)</x:f>
        <x:v>0</x:v>
      </x:c>
      <x:c r="AC217" s="10" t="n">
        <x:f>IFERROR(U217/R217,0)</x:f>
        <x:v>0</x:v>
      </x:c>
      <x:c r="AD217" s="12" t="n">
        <x:f>IFERROR(R217/U217,0)</x:f>
        <x:v>0</x:v>
      </x:c>
      <x:c r="AE217" s="10" t="n">
        <x:f>IFERROR(U217/Q217,0)</x:f>
        <x:v>0</x:v>
      </x:c>
      <x:c r="AF217" s="10" t="n">
        <x:f>IF(Q217=0,M217,IF(U217=0,IF(Q217&gt;=10,MAX(0.02,M217*0.7),M217),IF(AD217=0,M217,MAX(0.02,IF(AD217&gt;Summary!$B$2,M217*Summary!$B$2/AD217,MIN(M217*1.2,M217*Summary!$B$2/AD217))))))</x:f>
        <x:v>3</x:v>
      </x:c>
      <x:c r="AG217" s="11" t="n">
        <x:f>IFERROR(AF217/M217-1,0)</x:f>
        <x:v>0</x:v>
      </x:c>
      <x:c r="AH217" t="str">
        <x:f>IF(Q217=0,"Need clicks",IF(AND(U217=0,Q217&gt;=10),"No sales: lower/pause",IF(AND(AD217&gt;Summary!$B$2,T217&gt;0),"Over target: reduce",IF(AND(AD217&lt;=Summary!$B$2,T217&gt;0),"At/under target: scale/hold",IF(AND(Q217&gt;0,T217=0),"Collect data","Review")))))</x:f>
        <x:v>Need clicks</x:v>
      </x:c>
      <x:c r="AI217" s="10" t="n">
        <x:f>IFERROR(IF(U217=0,R217,MAX(0,R217-(U217*Summary!$B$2))),0)</x:f>
        <x:v>0</x:v>
      </x:c>
      <x:c r="AJ217" t="str">
        <x:f>IF(AH217="No sales: lower/pause","Waste",IF(AH217="Over target: reduce","Inefficient",IF(AH217="At/under target: scale/hold","Efficient",IF(AND(O217&gt;=1000,Q217=0),"High imp/no click","Data gathering"))))</x:f>
        <x:v>Data gathering</x:v>
      </x:c>
    </x:row>
    <x:row r="218">
      <x:c r="A218" t="s">
        <x:v>22</x:v>
      </x:c>
      <x:c r="B218" t="s">
        <x:v>305</x:v>
      </x:c>
      <x:c r="C218" t="s">
        <x:v>22</x:v>
      </x:c>
      <x:c r="D218" t="s">
        <x:v>24</x:v>
      </x:c>
      <x:c r="E218" t="s">
        <x:v>63</x:v>
      </x:c>
      <x:c r="F218" t="s">
        <x:v>26</x:v>
      </x:c>
      <x:c r="G218" t="s">
        <x:v>27</x:v>
      </x:c>
      <x:c r="H218" t="s">
        <x:v>302</x:v>
      </x:c>
      <x:c r="I218">
        <x:v>14</x:v>
      </x:c>
      <x:c r="L218">
        <x:v>0</x:v>
      </x:c>
      <x:c r="M218">
        <x:v>3</x:v>
      </x:c>
      <x:c r="N218">
        <x:v>4.1900000000000004</x:v>
      </x:c>
      <x:c r="O218">
        <x:v>1361</x:v>
      </x:c>
      <x:c r="P218" s="1" t="s">
        <x:v>306</x:v>
      </x:c>
      <x:c r="Q218">
        <x:v>0</x:v>
      </x:c>
      <x:c r="R218" s="10">
        <x:v>0</x:v>
      </x:c>
      <x:c r="S218">
        <x:v>0</x:v>
      </x:c>
      <x:c r="T218">
        <x:v>0</x:v>
      </x:c>
      <x:c r="U218" s="10">
        <x:v>0</x:v>
      </x:c>
      <x:c r="W218" s="11" t="n">
        <x:f>Summary!$B$2</x:f>
        <x:v>0.15</x:v>
      </x:c>
      <x:c r="X218" s="11" t="n">
        <x:f>IFERROR(AD218-Summary!$B$2,"")</x:f>
        <x:v>-0.15</x:v>
      </x:c>
      <x:c r="Y218" s="10" t="str">
        <x:f>IFERROR((U218/Q218)*Summary!$B$2,"")</x:f>
      </x:c>
      <x:c r="Z218" s="12" t="n">
        <x:f>IFERROR(Q218/O218,0)</x:f>
        <x:v>0</x:v>
      </x:c>
      <x:c r="AA218" s="12" t="n">
        <x:f>IFERROR(T218/Q218,0)</x:f>
        <x:v>0</x:v>
      </x:c>
      <x:c r="AB218" s="10" t="n">
        <x:f>IFERROR(R218/Q218,0)</x:f>
        <x:v>0</x:v>
      </x:c>
      <x:c r="AC218" s="10" t="n">
        <x:f>IFERROR(U218/R218,0)</x:f>
        <x:v>0</x:v>
      </x:c>
      <x:c r="AD218" s="12" t="n">
        <x:f>IFERROR(R218/U218,0)</x:f>
        <x:v>0</x:v>
      </x:c>
      <x:c r="AE218" s="10" t="n">
        <x:f>IFERROR(U218/Q218,0)</x:f>
        <x:v>0</x:v>
      </x:c>
      <x:c r="AF218" s="10" t="n">
        <x:f>IF(Q218=0,M218,IF(U218=0,IF(Q218&gt;=10,MAX(0.02,M218*0.7),M218),IF(AD218=0,M218,MAX(0.02,IF(AD218&gt;Summary!$B$2,M218*Summary!$B$2/AD218,MIN(M218*1.2,M218*Summary!$B$2/AD218))))))</x:f>
        <x:v>3</x:v>
      </x:c>
      <x:c r="AG218" s="11" t="n">
        <x:f>IFERROR(AF218/M218-1,0)</x:f>
        <x:v>0</x:v>
      </x:c>
      <x:c r="AH218" t="str">
        <x:f>IF(Q218=0,"Need clicks",IF(AND(U218=0,Q218&gt;=10),"No sales: lower/pause",IF(AND(AD218&gt;Summary!$B$2,T218&gt;0),"Over target: reduce",IF(AND(AD218&lt;=Summary!$B$2,T218&gt;0),"At/under target: scale/hold",IF(AND(Q218&gt;0,T218=0),"Collect data","Review")))))</x:f>
        <x:v>Need clicks</x:v>
      </x:c>
      <x:c r="AI218" s="10" t="n">
        <x:f>IFERROR(IF(U218=0,R218,MAX(0,R218-(U218*Summary!$B$2))),0)</x:f>
        <x:v>0</x:v>
      </x:c>
      <x:c r="AJ218" t="str">
        <x:f>IF(AH218="No sales: lower/pause","Waste",IF(AH218="Over target: reduce","Inefficient",IF(AH218="At/under target: scale/hold","Efficient",IF(AND(O218&gt;=1000,Q218=0),"High imp/no click","Data gathering"))))</x:f>
        <x:v>High imp/no click</x:v>
      </x:c>
    </x:row>
    <x:row r="219">
      <x:c r="A219" t="s">
        <x:v>22</x:v>
      </x:c>
      <x:c r="B219" t="s">
        <x:v>305</x:v>
      </x:c>
      <x:c r="C219" t="s">
        <x:v>22</x:v>
      </x:c>
      <x:c r="D219" t="s">
        <x:v>218</x:v>
      </x:c>
      <x:c r="E219" t="s">
        <x:v>63</x:v>
      </x:c>
      <x:c r="F219" t="s">
        <x:v>26</x:v>
      </x:c>
      <x:c r="G219" t="s">
        <x:v>27</x:v>
      </x:c>
      <x:c r="H219" t="s">
        <x:v>302</x:v>
      </x:c>
      <x:c r="I219">
        <x:v>14</x:v>
      </x:c>
      <x:c r="L219">
        <x:v>0</x:v>
      </x:c>
      <x:c r="M219">
        <x:v>3</x:v>
      </x:c>
      <x:c r="N219">
        <x:v>3.21</x:v>
      </x:c>
      <x:c r="O219">
        <x:v>31</x:v>
      </x:c>
      <x:c r="P219" s="1" t="s">
        <x:v>307</x:v>
      </x:c>
      <x:c r="Q219">
        <x:v>0</x:v>
      </x:c>
      <x:c r="R219" s="10">
        <x:v>0</x:v>
      </x:c>
      <x:c r="S219">
        <x:v>0</x:v>
      </x:c>
      <x:c r="T219">
        <x:v>0</x:v>
      </x:c>
      <x:c r="U219" s="10">
        <x:v>0</x:v>
      </x:c>
      <x:c r="W219" s="11" t="n">
        <x:f>Summary!$B$2</x:f>
        <x:v>0.15</x:v>
      </x:c>
      <x:c r="X219" s="11" t="n">
        <x:f>IFERROR(AD219-Summary!$B$2,"")</x:f>
        <x:v>-0.15</x:v>
      </x:c>
      <x:c r="Y219" s="10" t="str">
        <x:f>IFERROR((U219/Q219)*Summary!$B$2,"")</x:f>
      </x:c>
      <x:c r="Z219" s="12" t="n">
        <x:f>IFERROR(Q219/O219,0)</x:f>
        <x:v>0</x:v>
      </x:c>
      <x:c r="AA219" s="12" t="n">
        <x:f>IFERROR(T219/Q219,0)</x:f>
        <x:v>0</x:v>
      </x:c>
      <x:c r="AB219" s="10" t="n">
        <x:f>IFERROR(R219/Q219,0)</x:f>
        <x:v>0</x:v>
      </x:c>
      <x:c r="AC219" s="10" t="n">
        <x:f>IFERROR(U219/R219,0)</x:f>
        <x:v>0</x:v>
      </x:c>
      <x:c r="AD219" s="12" t="n">
        <x:f>IFERROR(R219/U219,0)</x:f>
        <x:v>0</x:v>
      </x:c>
      <x:c r="AE219" s="10" t="n">
        <x:f>IFERROR(U219/Q219,0)</x:f>
        <x:v>0</x:v>
      </x:c>
      <x:c r="AF219" s="10" t="n">
        <x:f>IF(Q219=0,M219,IF(U219=0,IF(Q219&gt;=10,MAX(0.02,M219*0.7),M219),IF(AD219=0,M219,MAX(0.02,IF(AD219&gt;Summary!$B$2,M219*Summary!$B$2/AD219,MIN(M219*1.2,M219*Summary!$B$2/AD219))))))</x:f>
        <x:v>3</x:v>
      </x:c>
      <x:c r="AG219" s="11" t="n">
        <x:f>IFERROR(AF219/M219-1,0)</x:f>
        <x:v>0</x:v>
      </x:c>
      <x:c r="AH219" t="str">
        <x:f>IF(Q219=0,"Need clicks",IF(AND(U219=0,Q219&gt;=10),"No sales: lower/pause",IF(AND(AD219&gt;Summary!$B$2,T219&gt;0),"Over target: reduce",IF(AND(AD219&lt;=Summary!$B$2,T219&gt;0),"At/under target: scale/hold",IF(AND(Q219&gt;0,T219=0),"Collect data","Review")))))</x:f>
        <x:v>Need clicks</x:v>
      </x:c>
      <x:c r="AI219" s="10" t="n">
        <x:f>IFERROR(IF(U219=0,R219,MAX(0,R219-(U219*Summary!$B$2))),0)</x:f>
        <x:v>0</x:v>
      </x:c>
      <x:c r="AJ219" t="str">
        <x:f>IF(AH219="No sales: lower/pause","Waste",IF(AH219="Over target: reduce","Inefficient",IF(AH219="At/under target: scale/hold","Efficient",IF(AND(O219&gt;=1000,Q219=0),"High imp/no click","Data gathering"))))</x:f>
        <x:v>Data gathering</x:v>
      </x:c>
    </x:row>
    <x:row r="220">
      <x:c r="A220" t="s">
        <x:v>22</x:v>
      </x:c>
      <x:c r="B220" t="s">
        <x:v>308</x:v>
      </x:c>
      <x:c r="C220" t="s">
        <x:v>22</x:v>
      </x:c>
      <x:c r="D220" t="s">
        <x:v>218</x:v>
      </x:c>
      <x:c r="E220" t="s">
        <x:v>63</x:v>
      </x:c>
      <x:c r="F220" t="s">
        <x:v>26</x:v>
      </x:c>
      <x:c r="G220" t="s">
        <x:v>27</x:v>
      </x:c>
      <x:c r="H220" t="s">
        <x:v>302</x:v>
      </x:c>
      <x:c r="I220">
        <x:v>14</x:v>
      </x:c>
      <x:c r="L220">
        <x:v>0</x:v>
      </x:c>
      <x:c r="M220">
        <x:v>3</x:v>
      </x:c>
      <x:c r="N220">
        <x:v>3.01</x:v>
      </x:c>
      <x:c r="O220">
        <x:v>305</x:v>
      </x:c>
      <x:c r="P220" s="1" t="s">
        <x:v>309</x:v>
      </x:c>
      <x:c r="Q220">
        <x:v>0</x:v>
      </x:c>
      <x:c r="R220" s="10">
        <x:v>0</x:v>
      </x:c>
      <x:c r="S220">
        <x:v>0</x:v>
      </x:c>
      <x:c r="T220">
        <x:v>0</x:v>
      </x:c>
      <x:c r="U220" s="10">
        <x:v>0</x:v>
      </x:c>
      <x:c r="W220" s="11" t="n">
        <x:f>Summary!$B$2</x:f>
        <x:v>0.15</x:v>
      </x:c>
      <x:c r="X220" s="11" t="n">
        <x:f>IFERROR(AD220-Summary!$B$2,"")</x:f>
        <x:v>-0.15</x:v>
      </x:c>
      <x:c r="Y220" s="10" t="str">
        <x:f>IFERROR((U220/Q220)*Summary!$B$2,"")</x:f>
      </x:c>
      <x:c r="Z220" s="12" t="n">
        <x:f>IFERROR(Q220/O220,0)</x:f>
        <x:v>0</x:v>
      </x:c>
      <x:c r="AA220" s="12" t="n">
        <x:f>IFERROR(T220/Q220,0)</x:f>
        <x:v>0</x:v>
      </x:c>
      <x:c r="AB220" s="10" t="n">
        <x:f>IFERROR(R220/Q220,0)</x:f>
        <x:v>0</x:v>
      </x:c>
      <x:c r="AC220" s="10" t="n">
        <x:f>IFERROR(U220/R220,0)</x:f>
        <x:v>0</x:v>
      </x:c>
      <x:c r="AD220" s="12" t="n">
        <x:f>IFERROR(R220/U220,0)</x:f>
        <x:v>0</x:v>
      </x:c>
      <x:c r="AE220" s="10" t="n">
        <x:f>IFERROR(U220/Q220,0)</x:f>
        <x:v>0</x:v>
      </x:c>
      <x:c r="AF220" s="10" t="n">
        <x:f>IF(Q220=0,M220,IF(U220=0,IF(Q220&gt;=10,MAX(0.02,M220*0.7),M220),IF(AD220=0,M220,MAX(0.02,IF(AD220&gt;Summary!$B$2,M220*Summary!$B$2/AD220,MIN(M220*1.2,M220*Summary!$B$2/AD220))))))</x:f>
        <x:v>3</x:v>
      </x:c>
      <x:c r="AG220" s="11" t="n">
        <x:f>IFERROR(AF220/M220-1,0)</x:f>
        <x:v>0</x:v>
      </x:c>
      <x:c r="AH220" t="str">
        <x:f>IF(Q220=0,"Need clicks",IF(AND(U220=0,Q220&gt;=10),"No sales: lower/pause",IF(AND(AD220&gt;Summary!$B$2,T220&gt;0),"Over target: reduce",IF(AND(AD220&lt;=Summary!$B$2,T220&gt;0),"At/under target: scale/hold",IF(AND(Q220&gt;0,T220=0),"Collect data","Review")))))</x:f>
        <x:v>Need clicks</x:v>
      </x:c>
      <x:c r="AI220" s="10" t="n">
        <x:f>IFERROR(IF(U220=0,R220,MAX(0,R220-(U220*Summary!$B$2))),0)</x:f>
        <x:v>0</x:v>
      </x:c>
      <x:c r="AJ220" t="str">
        <x:f>IF(AH220="No sales: lower/pause","Waste",IF(AH220="Over target: reduce","Inefficient",IF(AH220="At/under target: scale/hold","Efficient",IF(AND(O220&gt;=1000,Q220=0),"High imp/no click","Data gathering"))))</x:f>
        <x:v>Data gathering</x:v>
      </x:c>
    </x:row>
    <x:row r="221">
      <x:c r="A221" t="s">
        <x:v>22</x:v>
      </x:c>
      <x:c r="B221" t="s">
        <x:v>308</x:v>
      </x:c>
      <x:c r="C221" t="s">
        <x:v>22</x:v>
      </x:c>
      <x:c r="D221" t="s">
        <x:v>39</x:v>
      </x:c>
      <x:c r="E221" t="s">
        <x:v>63</x:v>
      </x:c>
      <x:c r="F221" t="s">
        <x:v>26</x:v>
      </x:c>
      <x:c r="G221" t="s">
        <x:v>27</x:v>
      </x:c>
      <x:c r="H221" t="s">
        <x:v>302</x:v>
      </x:c>
      <x:c r="I221">
        <x:v>14</x:v>
      </x:c>
      <x:c r="L221">
        <x:v>0</x:v>
      </x:c>
      <x:c r="M221">
        <x:v>3</x:v>
      </x:c>
      <x:c r="N221">
        <x:v>2.39</x:v>
      </x:c>
      <x:c r="O221">
        <x:v>251</x:v>
      </x:c>
      <x:c r="P221">
        <x:v>0</x:v>
      </x:c>
      <x:c r="Q221">
        <x:v>0</x:v>
      </x:c>
      <x:c r="R221" s="10">
        <x:v>0</x:v>
      </x:c>
      <x:c r="S221">
        <x:v>0</x:v>
      </x:c>
      <x:c r="T221">
        <x:v>0</x:v>
      </x:c>
      <x:c r="U221" s="10">
        <x:v>0</x:v>
      </x:c>
      <x:c r="W221" s="11" t="n">
        <x:f>Summary!$B$2</x:f>
        <x:v>0.15</x:v>
      </x:c>
      <x:c r="X221" s="11" t="n">
        <x:f>IFERROR(AD221-Summary!$B$2,"")</x:f>
        <x:v>-0.15</x:v>
      </x:c>
      <x:c r="Y221" s="10" t="str">
        <x:f>IFERROR((U221/Q221)*Summary!$B$2,"")</x:f>
      </x:c>
      <x:c r="Z221" s="12" t="n">
        <x:f>IFERROR(Q221/O221,0)</x:f>
        <x:v>0</x:v>
      </x:c>
      <x:c r="AA221" s="12" t="n">
        <x:f>IFERROR(T221/Q221,0)</x:f>
        <x:v>0</x:v>
      </x:c>
      <x:c r="AB221" s="10" t="n">
        <x:f>IFERROR(R221/Q221,0)</x:f>
        <x:v>0</x:v>
      </x:c>
      <x:c r="AC221" s="10" t="n">
        <x:f>IFERROR(U221/R221,0)</x:f>
        <x:v>0</x:v>
      </x:c>
      <x:c r="AD221" s="12" t="n">
        <x:f>IFERROR(R221/U221,0)</x:f>
        <x:v>0</x:v>
      </x:c>
      <x:c r="AE221" s="10" t="n">
        <x:f>IFERROR(U221/Q221,0)</x:f>
        <x:v>0</x:v>
      </x:c>
      <x:c r="AF221" s="10" t="n">
        <x:f>IF(Q221=0,M221,IF(U221=0,IF(Q221&gt;=10,MAX(0.02,M221*0.7),M221),IF(AD221=0,M221,MAX(0.02,IF(AD221&gt;Summary!$B$2,M221*Summary!$B$2/AD221,MIN(M221*1.2,M221*Summary!$B$2/AD221))))))</x:f>
        <x:v>3</x:v>
      </x:c>
      <x:c r="AG221" s="11" t="n">
        <x:f>IFERROR(AF221/M221-1,0)</x:f>
        <x:v>0</x:v>
      </x:c>
      <x:c r="AH221" t="str">
        <x:f>IF(Q221=0,"Need clicks",IF(AND(U221=0,Q221&gt;=10),"No sales: lower/pause",IF(AND(AD221&gt;Summary!$B$2,T221&gt;0),"Over target: reduce",IF(AND(AD221&lt;=Summary!$B$2,T221&gt;0),"At/under target: scale/hold",IF(AND(Q221&gt;0,T221=0),"Collect data","Review")))))</x:f>
        <x:v>Need clicks</x:v>
      </x:c>
      <x:c r="AI221" s="10" t="n">
        <x:f>IFERROR(IF(U221=0,R221,MAX(0,R221-(U221*Summary!$B$2))),0)</x:f>
        <x:v>0</x:v>
      </x:c>
      <x:c r="AJ221" t="str">
        <x:f>IF(AH221="No sales: lower/pause","Waste",IF(AH221="Over target: reduce","Inefficient",IF(AH221="At/under target: scale/hold","Efficient",IF(AND(O221&gt;=1000,Q221=0),"High imp/no click","Data gathering"))))</x:f>
        <x:v>Data gathering</x:v>
      </x:c>
    </x:row>
    <x:row r="222">
      <x:c r="A222" t="s">
        <x:v>22</x:v>
      </x:c>
      <x:c r="B222" t="s">
        <x:v>310</x:v>
      </x:c>
      <x:c r="C222" t="s">
        <x:v>22</x:v>
      </x:c>
      <x:c r="D222" t="s">
        <x:v>218</x:v>
      </x:c>
      <x:c r="E222" t="s">
        <x:v>63</x:v>
      </x:c>
      <x:c r="F222" t="s">
        <x:v>26</x:v>
      </x:c>
      <x:c r="G222" t="s">
        <x:v>27</x:v>
      </x:c>
      <x:c r="H222" t="s">
        <x:v>302</x:v>
      </x:c>
      <x:c r="I222">
        <x:v>14</x:v>
      </x:c>
      <x:c r="L222">
        <x:v>0</x:v>
      </x:c>
      <x:c r="M222">
        <x:v>3</x:v>
      </x:c>
      <x:c r="N222">
        <x:v>3.2</x:v>
      </x:c>
      <x:c r="O222">
        <x:v>77</x:v>
      </x:c>
      <x:c r="P222" s="1" t="s">
        <x:v>311</x:v>
      </x:c>
      <x:c r="Q222">
        <x:v>0</x:v>
      </x:c>
      <x:c r="R222" s="10">
        <x:v>0</x:v>
      </x:c>
      <x:c r="S222">
        <x:v>0</x:v>
      </x:c>
      <x:c r="T222">
        <x:v>0</x:v>
      </x:c>
      <x:c r="U222" s="10">
        <x:v>0</x:v>
      </x:c>
      <x:c r="W222" s="11" t="n">
        <x:f>Summary!$B$2</x:f>
        <x:v>0.15</x:v>
      </x:c>
      <x:c r="X222" s="11" t="n">
        <x:f>IFERROR(AD222-Summary!$B$2,"")</x:f>
        <x:v>-0.15</x:v>
      </x:c>
      <x:c r="Y222" s="10" t="str">
        <x:f>IFERROR((U222/Q222)*Summary!$B$2,"")</x:f>
      </x:c>
      <x:c r="Z222" s="12" t="n">
        <x:f>IFERROR(Q222/O222,0)</x:f>
        <x:v>0</x:v>
      </x:c>
      <x:c r="AA222" s="12" t="n">
        <x:f>IFERROR(T222/Q222,0)</x:f>
        <x:v>0</x:v>
      </x:c>
      <x:c r="AB222" s="10" t="n">
        <x:f>IFERROR(R222/Q222,0)</x:f>
        <x:v>0</x:v>
      </x:c>
      <x:c r="AC222" s="10" t="n">
        <x:f>IFERROR(U222/R222,0)</x:f>
        <x:v>0</x:v>
      </x:c>
      <x:c r="AD222" s="12" t="n">
        <x:f>IFERROR(R222/U222,0)</x:f>
        <x:v>0</x:v>
      </x:c>
      <x:c r="AE222" s="10" t="n">
        <x:f>IFERROR(U222/Q222,0)</x:f>
        <x:v>0</x:v>
      </x:c>
      <x:c r="AF222" s="10" t="n">
        <x:f>IF(Q222=0,M222,IF(U222=0,IF(Q222&gt;=10,MAX(0.02,M222*0.7),M222),IF(AD222=0,M222,MAX(0.02,IF(AD222&gt;Summary!$B$2,M222*Summary!$B$2/AD222,MIN(M222*1.2,M222*Summary!$B$2/AD222))))))</x:f>
        <x:v>3</x:v>
      </x:c>
      <x:c r="AG222" s="11" t="n">
        <x:f>IFERROR(AF222/M222-1,0)</x:f>
        <x:v>0</x:v>
      </x:c>
      <x:c r="AH222" t="str">
        <x:f>IF(Q222=0,"Need clicks",IF(AND(U222=0,Q222&gt;=10),"No sales: lower/pause",IF(AND(AD222&gt;Summary!$B$2,T222&gt;0),"Over target: reduce",IF(AND(AD222&lt;=Summary!$B$2,T222&gt;0),"At/under target: scale/hold",IF(AND(Q222&gt;0,T222=0),"Collect data","Review")))))</x:f>
        <x:v>Need clicks</x:v>
      </x:c>
      <x:c r="AI222" s="10" t="n">
        <x:f>IFERROR(IF(U222=0,R222,MAX(0,R222-(U222*Summary!$B$2))),0)</x:f>
        <x:v>0</x:v>
      </x:c>
      <x:c r="AJ222" t="str">
        <x:f>IF(AH222="No sales: lower/pause","Waste",IF(AH222="Over target: reduce","Inefficient",IF(AH222="At/under target: scale/hold","Efficient",IF(AND(O222&gt;=1000,Q222=0),"High imp/no click","Data gathering"))))</x:f>
        <x:v>Data gathering</x:v>
      </x:c>
    </x:row>
    <x:row r="223">
      <x:c r="A223" t="s">
        <x:v>22</x:v>
      </x:c>
      <x:c r="B223" t="s">
        <x:v>312</x:v>
      </x:c>
      <x:c r="C223" t="s">
        <x:v>22</x:v>
      </x:c>
      <x:c r="D223" t="s">
        <x:v>24</x:v>
      </x:c>
      <x:c r="E223" t="s">
        <x:v>63</x:v>
      </x:c>
      <x:c r="F223" t="s">
        <x:v>26</x:v>
      </x:c>
      <x:c r="G223" t="s">
        <x:v>27</x:v>
      </x:c>
      <x:c r="H223" t="s">
        <x:v>302</x:v>
      </x:c>
      <x:c r="I223">
        <x:v>14</x:v>
      </x:c>
      <x:c r="L223">
        <x:v>0</x:v>
      </x:c>
      <x:c r="M223">
        <x:v>3</x:v>
      </x:c>
      <x:c r="N223">
        <x:v>3.93</x:v>
      </x:c>
      <x:c r="O223">
        <x:v>797</x:v>
      </x:c>
      <x:c r="P223">
        <x:v>3.7066018697747199E-2</x:v>
      </x:c>
      <x:c r="Q223">
        <x:v>0</x:v>
      </x:c>
      <x:c r="R223" s="10">
        <x:v>0</x:v>
      </x:c>
      <x:c r="S223">
        <x:v>0</x:v>
      </x:c>
      <x:c r="T223">
        <x:v>0</x:v>
      </x:c>
      <x:c r="U223" s="10">
        <x:v>0</x:v>
      </x:c>
      <x:c r="W223" s="11" t="n">
        <x:f>Summary!$B$2</x:f>
        <x:v>0.15</x:v>
      </x:c>
      <x:c r="X223" s="11" t="n">
        <x:f>IFERROR(AD223-Summary!$B$2,"")</x:f>
        <x:v>-0.15</x:v>
      </x:c>
      <x:c r="Y223" s="10" t="str">
        <x:f>IFERROR((U223/Q223)*Summary!$B$2,"")</x:f>
      </x:c>
      <x:c r="Z223" s="12" t="n">
        <x:f>IFERROR(Q223/O223,0)</x:f>
        <x:v>0</x:v>
      </x:c>
      <x:c r="AA223" s="12" t="n">
        <x:f>IFERROR(T223/Q223,0)</x:f>
        <x:v>0</x:v>
      </x:c>
      <x:c r="AB223" s="10" t="n">
        <x:f>IFERROR(R223/Q223,0)</x:f>
        <x:v>0</x:v>
      </x:c>
      <x:c r="AC223" s="10" t="n">
        <x:f>IFERROR(U223/R223,0)</x:f>
        <x:v>0</x:v>
      </x:c>
      <x:c r="AD223" s="12" t="n">
        <x:f>IFERROR(R223/U223,0)</x:f>
        <x:v>0</x:v>
      </x:c>
      <x:c r="AE223" s="10" t="n">
        <x:f>IFERROR(U223/Q223,0)</x:f>
        <x:v>0</x:v>
      </x:c>
      <x:c r="AF223" s="10" t="n">
        <x:f>IF(Q223=0,M223,IF(U223=0,IF(Q223&gt;=10,MAX(0.02,M223*0.7),M223),IF(AD223=0,M223,MAX(0.02,IF(AD223&gt;Summary!$B$2,M223*Summary!$B$2/AD223,MIN(M223*1.2,M223*Summary!$B$2/AD223))))))</x:f>
        <x:v>3</x:v>
      </x:c>
      <x:c r="AG223" s="11" t="n">
        <x:f>IFERROR(AF223/M223-1,0)</x:f>
        <x:v>0</x:v>
      </x:c>
      <x:c r="AH223" t="str">
        <x:f>IF(Q223=0,"Need clicks",IF(AND(U223=0,Q223&gt;=10),"No sales: lower/pause",IF(AND(AD223&gt;Summary!$B$2,T223&gt;0),"Over target: reduce",IF(AND(AD223&lt;=Summary!$B$2,T223&gt;0),"At/under target: scale/hold",IF(AND(Q223&gt;0,T223=0),"Collect data","Review")))))</x:f>
        <x:v>Need clicks</x:v>
      </x:c>
      <x:c r="AI223" s="10" t="n">
        <x:f>IFERROR(IF(U223=0,R223,MAX(0,R223-(U223*Summary!$B$2))),0)</x:f>
        <x:v>0</x:v>
      </x:c>
      <x:c r="AJ223" t="str">
        <x:f>IF(AH223="No sales: lower/pause","Waste",IF(AH223="Over target: reduce","Inefficient",IF(AH223="At/under target: scale/hold","Efficient",IF(AND(O223&gt;=1000,Q223=0),"High imp/no click","Data gathering"))))</x:f>
        <x:v>Data gathering</x:v>
      </x:c>
    </x:row>
    <x:row r="224">
      <x:c r="A224" t="s">
        <x:v>22</x:v>
      </x:c>
      <x:c r="B224" t="s">
        <x:v>312</x:v>
      </x:c>
      <x:c r="C224" t="s">
        <x:v>22</x:v>
      </x:c>
      <x:c r="D224" t="s">
        <x:v>218</x:v>
      </x:c>
      <x:c r="E224" t="s">
        <x:v>63</x:v>
      </x:c>
      <x:c r="F224" t="s">
        <x:v>26</x:v>
      </x:c>
      <x:c r="G224" t="s">
        <x:v>27</x:v>
      </x:c>
      <x:c r="H224" t="s">
        <x:v>302</x:v>
      </x:c>
      <x:c r="I224">
        <x:v>14</x:v>
      </x:c>
      <x:c r="L224">
        <x:v>0</x:v>
      </x:c>
      <x:c r="M224">
        <x:v>3</x:v>
      </x:c>
      <x:c r="N224">
        <x:v>3.97</x:v>
      </x:c>
      <x:c r="O224">
        <x:v>61</x:v>
      </x:c>
      <x:c r="P224">
        <x:v>0</x:v>
      </x:c>
      <x:c r="Q224">
        <x:v>0</x:v>
      </x:c>
      <x:c r="R224" s="10">
        <x:v>0</x:v>
      </x:c>
      <x:c r="S224">
        <x:v>0</x:v>
      </x:c>
      <x:c r="T224">
        <x:v>0</x:v>
      </x:c>
      <x:c r="U224" s="10">
        <x:v>0</x:v>
      </x:c>
      <x:c r="W224" s="11" t="n">
        <x:f>Summary!$B$2</x:f>
        <x:v>0.15</x:v>
      </x:c>
      <x:c r="X224" s="11" t="n">
        <x:f>IFERROR(AD224-Summary!$B$2,"")</x:f>
        <x:v>-0.15</x:v>
      </x:c>
      <x:c r="Y224" s="10" t="str">
        <x:f>IFERROR((U224/Q224)*Summary!$B$2,"")</x:f>
      </x:c>
      <x:c r="Z224" s="12" t="n">
        <x:f>IFERROR(Q224/O224,0)</x:f>
        <x:v>0</x:v>
      </x:c>
      <x:c r="AA224" s="12" t="n">
        <x:f>IFERROR(T224/Q224,0)</x:f>
        <x:v>0</x:v>
      </x:c>
      <x:c r="AB224" s="10" t="n">
        <x:f>IFERROR(R224/Q224,0)</x:f>
        <x:v>0</x:v>
      </x:c>
      <x:c r="AC224" s="10" t="n">
        <x:f>IFERROR(U224/R224,0)</x:f>
        <x:v>0</x:v>
      </x:c>
      <x:c r="AD224" s="12" t="n">
        <x:f>IFERROR(R224/U224,0)</x:f>
        <x:v>0</x:v>
      </x:c>
      <x:c r="AE224" s="10" t="n">
        <x:f>IFERROR(U224/Q224,0)</x:f>
        <x:v>0</x:v>
      </x:c>
      <x:c r="AF224" s="10" t="n">
        <x:f>IF(Q224=0,M224,IF(U224=0,IF(Q224&gt;=10,MAX(0.02,M224*0.7),M224),IF(AD224=0,M224,MAX(0.02,IF(AD224&gt;Summary!$B$2,M224*Summary!$B$2/AD224,MIN(M224*1.2,M224*Summary!$B$2/AD224))))))</x:f>
        <x:v>3</x:v>
      </x:c>
      <x:c r="AG224" s="11" t="n">
        <x:f>IFERROR(AF224/M224-1,0)</x:f>
        <x:v>0</x:v>
      </x:c>
      <x:c r="AH224" t="str">
        <x:f>IF(Q224=0,"Need clicks",IF(AND(U224=0,Q224&gt;=10),"No sales: lower/pause",IF(AND(AD224&gt;Summary!$B$2,T224&gt;0),"Over target: reduce",IF(AND(AD224&lt;=Summary!$B$2,T224&gt;0),"At/under target: scale/hold",IF(AND(Q224&gt;0,T224=0),"Collect data","Review")))))</x:f>
        <x:v>Need clicks</x:v>
      </x:c>
      <x:c r="AI224" s="10" t="n">
        <x:f>IFERROR(IF(U224=0,R224,MAX(0,R224-(U224*Summary!$B$2))),0)</x:f>
        <x:v>0</x:v>
      </x:c>
      <x:c r="AJ224" t="str">
        <x:f>IF(AH224="No sales: lower/pause","Waste",IF(AH224="Over target: reduce","Inefficient",IF(AH224="At/under target: scale/hold","Efficient",IF(AND(O224&gt;=1000,Q224=0),"High imp/no click","Data gathering"))))</x:f>
        <x:v>Data gathering</x:v>
      </x:c>
    </x:row>
    <x:row r="225">
      <x:c r="A225" t="s">
        <x:v>22</x:v>
      </x:c>
      <x:c r="B225" t="s">
        <x:v>313</x:v>
      </x:c>
      <x:c r="C225" t="s">
        <x:v>22</x:v>
      </x:c>
      <x:c r="D225" t="s">
        <x:v>24</x:v>
      </x:c>
      <x:c r="E225" t="s">
        <x:v>63</x:v>
      </x:c>
      <x:c r="F225" t="s">
        <x:v>26</x:v>
      </x:c>
      <x:c r="G225" t="s">
        <x:v>27</x:v>
      </x:c>
      <x:c r="H225" t="s">
        <x:v>302</x:v>
      </x:c>
      <x:c r="I225">
        <x:v>14</x:v>
      </x:c>
      <x:c r="L225">
        <x:v>0</x:v>
      </x:c>
      <x:c r="M225">
        <x:v>3</x:v>
      </x:c>
      <x:c r="N225">
        <x:v>1.63</x:v>
      </x:c>
      <x:c r="O225">
        <x:v>54</x:v>
      </x:c>
      <x:c r="P225">
        <x:v>6.37389253617183E-3</x:v>
      </x:c>
      <x:c r="Q225">
        <x:v>0</x:v>
      </x:c>
      <x:c r="R225" s="10">
        <x:v>0</x:v>
      </x:c>
      <x:c r="S225">
        <x:v>0</x:v>
      </x:c>
      <x:c r="T225">
        <x:v>0</x:v>
      </x:c>
      <x:c r="U225" s="10">
        <x:v>0</x:v>
      </x:c>
      <x:c r="W225" s="11" t="n">
        <x:f>Summary!$B$2</x:f>
        <x:v>0.15</x:v>
      </x:c>
      <x:c r="X225" s="11" t="n">
        <x:f>IFERROR(AD225-Summary!$B$2,"")</x:f>
        <x:v>-0.15</x:v>
      </x:c>
      <x:c r="Y225" s="10" t="str">
        <x:f>IFERROR((U225/Q225)*Summary!$B$2,"")</x:f>
      </x:c>
      <x:c r="Z225" s="12" t="n">
        <x:f>IFERROR(Q225/O225,0)</x:f>
        <x:v>0</x:v>
      </x:c>
      <x:c r="AA225" s="12" t="n">
        <x:f>IFERROR(T225/Q225,0)</x:f>
        <x:v>0</x:v>
      </x:c>
      <x:c r="AB225" s="10" t="n">
        <x:f>IFERROR(R225/Q225,0)</x:f>
        <x:v>0</x:v>
      </x:c>
      <x:c r="AC225" s="10" t="n">
        <x:f>IFERROR(U225/R225,0)</x:f>
        <x:v>0</x:v>
      </x:c>
      <x:c r="AD225" s="12" t="n">
        <x:f>IFERROR(R225/U225,0)</x:f>
        <x:v>0</x:v>
      </x:c>
      <x:c r="AE225" s="10" t="n">
        <x:f>IFERROR(U225/Q225,0)</x:f>
        <x:v>0</x:v>
      </x:c>
      <x:c r="AF225" s="10" t="n">
        <x:f>IF(Q225=0,M225,IF(U225=0,IF(Q225&gt;=10,MAX(0.02,M225*0.7),M225),IF(AD225=0,M225,MAX(0.02,IF(AD225&gt;Summary!$B$2,M225*Summary!$B$2/AD225,MIN(M225*1.2,M225*Summary!$B$2/AD225))))))</x:f>
        <x:v>3</x:v>
      </x:c>
      <x:c r="AG225" s="11" t="n">
        <x:f>IFERROR(AF225/M225-1,0)</x:f>
        <x:v>0</x:v>
      </x:c>
      <x:c r="AH225" t="str">
        <x:f>IF(Q225=0,"Need clicks",IF(AND(U225=0,Q225&gt;=10),"No sales: lower/pause",IF(AND(AD225&gt;Summary!$B$2,T225&gt;0),"Over target: reduce",IF(AND(AD225&lt;=Summary!$B$2,T225&gt;0),"At/under target: scale/hold",IF(AND(Q225&gt;0,T225=0),"Collect data","Review")))))</x:f>
        <x:v>Need clicks</x:v>
      </x:c>
      <x:c r="AI225" s="10" t="n">
        <x:f>IFERROR(IF(U225=0,R225,MAX(0,R225-(U225*Summary!$B$2))),0)</x:f>
        <x:v>0</x:v>
      </x:c>
      <x:c r="AJ225" t="str">
        <x:f>IF(AH225="No sales: lower/pause","Waste",IF(AH225="Over target: reduce","Inefficient",IF(AH225="At/under target: scale/hold","Efficient",IF(AND(O225&gt;=1000,Q225=0),"High imp/no click","Data gathering"))))</x:f>
        <x:v>Data gathering</x:v>
      </x:c>
    </x:row>
    <x:row r="226">
      <x:c r="A226" t="s">
        <x:v>22</x:v>
      </x:c>
      <x:c r="B226" t="s">
        <x:v>313</x:v>
      </x:c>
      <x:c r="C226" t="s">
        <x:v>22</x:v>
      </x:c>
      <x:c r="D226" t="s">
        <x:v>218</x:v>
      </x:c>
      <x:c r="E226" t="s">
        <x:v>63</x:v>
      </x:c>
      <x:c r="F226" t="s">
        <x:v>26</x:v>
      </x:c>
      <x:c r="G226" t="s">
        <x:v>27</x:v>
      </x:c>
      <x:c r="H226" t="s">
        <x:v>302</x:v>
      </x:c>
      <x:c r="I226">
        <x:v>14</x:v>
      </x:c>
      <x:c r="L226">
        <x:v>0</x:v>
      </x:c>
      <x:c r="M226">
        <x:v>3</x:v>
      </x:c>
      <x:c r="N226">
        <x:v>3.48</x:v>
      </x:c>
      <x:c r="O226">
        <x:v>9</x:v>
      </x:c>
      <x:c r="P226">
        <x:v>0</x:v>
      </x:c>
      <x:c r="Q226">
        <x:v>0</x:v>
      </x:c>
      <x:c r="R226" s="10">
        <x:v>0</x:v>
      </x:c>
      <x:c r="S226">
        <x:v>0</x:v>
      </x:c>
      <x:c r="T226">
        <x:v>0</x:v>
      </x:c>
      <x:c r="U226" s="10">
        <x:v>0</x:v>
      </x:c>
      <x:c r="W226" s="11" t="n">
        <x:f>Summary!$B$2</x:f>
        <x:v>0.15</x:v>
      </x:c>
      <x:c r="X226" s="11" t="n">
        <x:f>IFERROR(AD226-Summary!$B$2,"")</x:f>
        <x:v>-0.15</x:v>
      </x:c>
      <x:c r="Y226" s="10" t="str">
        <x:f>IFERROR((U226/Q226)*Summary!$B$2,"")</x:f>
      </x:c>
      <x:c r="Z226" s="12" t="n">
        <x:f>IFERROR(Q226/O226,0)</x:f>
        <x:v>0</x:v>
      </x:c>
      <x:c r="AA226" s="12" t="n">
        <x:f>IFERROR(T226/Q226,0)</x:f>
        <x:v>0</x:v>
      </x:c>
      <x:c r="AB226" s="10" t="n">
        <x:f>IFERROR(R226/Q226,0)</x:f>
        <x:v>0</x:v>
      </x:c>
      <x:c r="AC226" s="10" t="n">
        <x:f>IFERROR(U226/R226,0)</x:f>
        <x:v>0</x:v>
      </x:c>
      <x:c r="AD226" s="12" t="n">
        <x:f>IFERROR(R226/U226,0)</x:f>
        <x:v>0</x:v>
      </x:c>
      <x:c r="AE226" s="10" t="n">
        <x:f>IFERROR(U226/Q226,0)</x:f>
        <x:v>0</x:v>
      </x:c>
      <x:c r="AF226" s="10" t="n">
        <x:f>IF(Q226=0,M226,IF(U226=0,IF(Q226&gt;=10,MAX(0.02,M226*0.7),M226),IF(AD226=0,M226,MAX(0.02,IF(AD226&gt;Summary!$B$2,M226*Summary!$B$2/AD226,MIN(M226*1.2,M226*Summary!$B$2/AD226))))))</x:f>
        <x:v>3</x:v>
      </x:c>
      <x:c r="AG226" s="11" t="n">
        <x:f>IFERROR(AF226/M226-1,0)</x:f>
        <x:v>0</x:v>
      </x:c>
      <x:c r="AH226" t="str">
        <x:f>IF(Q226=0,"Need clicks",IF(AND(U226=0,Q226&gt;=10),"No sales: lower/pause",IF(AND(AD226&gt;Summary!$B$2,T226&gt;0),"Over target: reduce",IF(AND(AD226&lt;=Summary!$B$2,T226&gt;0),"At/under target: scale/hold",IF(AND(Q226&gt;0,T226=0),"Collect data","Review")))))</x:f>
        <x:v>Need clicks</x:v>
      </x:c>
      <x:c r="AI226" s="10" t="n">
        <x:f>IFERROR(IF(U226=0,R226,MAX(0,R226-(U226*Summary!$B$2))),0)</x:f>
        <x:v>0</x:v>
      </x:c>
      <x:c r="AJ226" t="str">
        <x:f>IF(AH226="No sales: lower/pause","Waste",IF(AH226="Over target: reduce","Inefficient",IF(AH226="At/under target: scale/hold","Efficient",IF(AND(O226&gt;=1000,Q226=0),"High imp/no click","Data gathering"))))</x:f>
        <x:v>Data gathering</x:v>
      </x:c>
    </x:row>
    <x:row r="227">
      <x:c r="A227" t="s">
        <x:v>22</x:v>
      </x:c>
      <x:c r="B227" t="s">
        <x:v>314</x:v>
      </x:c>
      <x:c r="C227" t="s">
        <x:v>22</x:v>
      </x:c>
      <x:c r="D227" t="s">
        <x:v>24</x:v>
      </x:c>
      <x:c r="E227" t="s">
        <x:v>63</x:v>
      </x:c>
      <x:c r="F227" t="s">
        <x:v>26</x:v>
      </x:c>
      <x:c r="G227" t="s">
        <x:v>27</x:v>
      </x:c>
      <x:c r="H227" t="s">
        <x:v>302</x:v>
      </x:c>
      <x:c r="I227">
        <x:v>14</x:v>
      </x:c>
      <x:c r="L227">
        <x:v>0</x:v>
      </x:c>
      <x:c r="M227">
        <x:v>3</x:v>
      </x:c>
      <x:c r="N227">
        <x:v>3.67</x:v>
      </x:c>
      <x:c r="O227">
        <x:v>40</x:v>
      </x:c>
      <x:c r="P227">
        <x:v>9.5923261390887193E-2</x:v>
      </x:c>
      <x:c r="Q227">
        <x:v>0</x:v>
      </x:c>
      <x:c r="R227" s="10">
        <x:v>0</x:v>
      </x:c>
      <x:c r="S227">
        <x:v>0</x:v>
      </x:c>
      <x:c r="T227">
        <x:v>0</x:v>
      </x:c>
      <x:c r="U227" s="10">
        <x:v>0</x:v>
      </x:c>
      <x:c r="W227" s="11" t="n">
        <x:f>Summary!$B$2</x:f>
        <x:v>0.15</x:v>
      </x:c>
      <x:c r="X227" s="11" t="n">
        <x:f>IFERROR(AD227-Summary!$B$2,"")</x:f>
        <x:v>-0.15</x:v>
      </x:c>
      <x:c r="Y227" s="10" t="str">
        <x:f>IFERROR((U227/Q227)*Summary!$B$2,"")</x:f>
      </x:c>
      <x:c r="Z227" s="12" t="n">
        <x:f>IFERROR(Q227/O227,0)</x:f>
        <x:v>0</x:v>
      </x:c>
      <x:c r="AA227" s="12" t="n">
        <x:f>IFERROR(T227/Q227,0)</x:f>
        <x:v>0</x:v>
      </x:c>
      <x:c r="AB227" s="10" t="n">
        <x:f>IFERROR(R227/Q227,0)</x:f>
        <x:v>0</x:v>
      </x:c>
      <x:c r="AC227" s="10" t="n">
        <x:f>IFERROR(U227/R227,0)</x:f>
        <x:v>0</x:v>
      </x:c>
      <x:c r="AD227" s="12" t="n">
        <x:f>IFERROR(R227/U227,0)</x:f>
        <x:v>0</x:v>
      </x:c>
      <x:c r="AE227" s="10" t="n">
        <x:f>IFERROR(U227/Q227,0)</x:f>
        <x:v>0</x:v>
      </x:c>
      <x:c r="AF227" s="10" t="n">
        <x:f>IF(Q227=0,M227,IF(U227=0,IF(Q227&gt;=10,MAX(0.02,M227*0.7),M227),IF(AD227=0,M227,MAX(0.02,IF(AD227&gt;Summary!$B$2,M227*Summary!$B$2/AD227,MIN(M227*1.2,M227*Summary!$B$2/AD227))))))</x:f>
        <x:v>3</x:v>
      </x:c>
      <x:c r="AG227" s="11" t="n">
        <x:f>IFERROR(AF227/M227-1,0)</x:f>
        <x:v>0</x:v>
      </x:c>
      <x:c r="AH227" t="str">
        <x:f>IF(Q227=0,"Need clicks",IF(AND(U227=0,Q227&gt;=10),"No sales: lower/pause",IF(AND(AD227&gt;Summary!$B$2,T227&gt;0),"Over target: reduce",IF(AND(AD227&lt;=Summary!$B$2,T227&gt;0),"At/under target: scale/hold",IF(AND(Q227&gt;0,T227=0),"Collect data","Review")))))</x:f>
        <x:v>Need clicks</x:v>
      </x:c>
      <x:c r="AI227" s="10" t="n">
        <x:f>IFERROR(IF(U227=0,R227,MAX(0,R227-(U227*Summary!$B$2))),0)</x:f>
        <x:v>0</x:v>
      </x:c>
      <x:c r="AJ227" t="str">
        <x:f>IF(AH227="No sales: lower/pause","Waste",IF(AH227="Over target: reduce","Inefficient",IF(AH227="At/under target: scale/hold","Efficient",IF(AND(O227&gt;=1000,Q227=0),"High imp/no click","Data gathering"))))</x:f>
        <x:v>Data gathering</x:v>
      </x:c>
    </x:row>
    <x:row r="228">
      <x:c r="A228" t="s">
        <x:v>22</x:v>
      </x:c>
      <x:c r="B228" t="s">
        <x:v>315</x:v>
      </x:c>
      <x:c r="C228" t="s">
        <x:v>22</x:v>
      </x:c>
      <x:c r="D228" t="s">
        <x:v>24</x:v>
      </x:c>
      <x:c r="E228" t="s">
        <x:v>63</x:v>
      </x:c>
      <x:c r="F228" t="s">
        <x:v>26</x:v>
      </x:c>
      <x:c r="G228" t="s">
        <x:v>27</x:v>
      </x:c>
      <x:c r="H228" t="s">
        <x:v>302</x:v>
      </x:c>
      <x:c r="I228">
        <x:v>14</x:v>
      </x:c>
      <x:c r="L228">
        <x:v>0</x:v>
      </x:c>
      <x:c r="M228">
        <x:v>3</x:v>
      </x:c>
      <x:c r="N228">
        <x:v>3.83</x:v>
      </x:c>
      <x:c r="O228">
        <x:v>510</x:v>
      </x:c>
      <x:c r="P228" s="1" t="s">
        <x:v>316</x:v>
      </x:c>
      <x:c r="Q228">
        <x:v>0</x:v>
      </x:c>
      <x:c r="R228" s="10">
        <x:v>0</x:v>
      </x:c>
      <x:c r="S228">
        <x:v>0</x:v>
      </x:c>
      <x:c r="T228">
        <x:v>0</x:v>
      </x:c>
      <x:c r="U228" s="10">
        <x:v>0</x:v>
      </x:c>
      <x:c r="W228" s="11" t="n">
        <x:f>Summary!$B$2</x:f>
        <x:v>0.15</x:v>
      </x:c>
      <x:c r="X228" s="11" t="n">
        <x:f>IFERROR(AD228-Summary!$B$2,"")</x:f>
        <x:v>-0.15</x:v>
      </x:c>
      <x:c r="Y228" s="10" t="str">
        <x:f>IFERROR((U228/Q228)*Summary!$B$2,"")</x:f>
      </x:c>
      <x:c r="Z228" s="12" t="n">
        <x:f>IFERROR(Q228/O228,0)</x:f>
        <x:v>0</x:v>
      </x:c>
      <x:c r="AA228" s="12" t="n">
        <x:f>IFERROR(T228/Q228,0)</x:f>
        <x:v>0</x:v>
      </x:c>
      <x:c r="AB228" s="10" t="n">
        <x:f>IFERROR(R228/Q228,0)</x:f>
        <x:v>0</x:v>
      </x:c>
      <x:c r="AC228" s="10" t="n">
        <x:f>IFERROR(U228/R228,0)</x:f>
        <x:v>0</x:v>
      </x:c>
      <x:c r="AD228" s="12" t="n">
        <x:f>IFERROR(R228/U228,0)</x:f>
        <x:v>0</x:v>
      </x:c>
      <x:c r="AE228" s="10" t="n">
        <x:f>IFERROR(U228/Q228,0)</x:f>
        <x:v>0</x:v>
      </x:c>
      <x:c r="AF228" s="10" t="n">
        <x:f>IF(Q228=0,M228,IF(U228=0,IF(Q228&gt;=10,MAX(0.02,M228*0.7),M228),IF(AD228=0,M228,MAX(0.02,IF(AD228&gt;Summary!$B$2,M228*Summary!$B$2/AD228,MIN(M228*1.2,M228*Summary!$B$2/AD228))))))</x:f>
        <x:v>3</x:v>
      </x:c>
      <x:c r="AG228" s="11" t="n">
        <x:f>IFERROR(AF228/M228-1,0)</x:f>
        <x:v>0</x:v>
      </x:c>
      <x:c r="AH228" t="str">
        <x:f>IF(Q228=0,"Need clicks",IF(AND(U228=0,Q228&gt;=10),"No sales: lower/pause",IF(AND(AD228&gt;Summary!$B$2,T228&gt;0),"Over target: reduce",IF(AND(AD228&lt;=Summary!$B$2,T228&gt;0),"At/under target: scale/hold",IF(AND(Q228&gt;0,T228=0),"Collect data","Review")))))</x:f>
        <x:v>Need clicks</x:v>
      </x:c>
      <x:c r="AI228" s="10" t="n">
        <x:f>IFERROR(IF(U228=0,R228,MAX(0,R228-(U228*Summary!$B$2))),0)</x:f>
        <x:v>0</x:v>
      </x:c>
      <x:c r="AJ228" t="str">
        <x:f>IF(AH228="No sales: lower/pause","Waste",IF(AH228="Over target: reduce","Inefficient",IF(AH228="At/under target: scale/hold","Efficient",IF(AND(O228&gt;=1000,Q228=0),"High imp/no click","Data gathering"))))</x:f>
        <x:v>Data gathering</x:v>
      </x:c>
    </x:row>
    <x:row r="229">
      <x:c r="A229" t="s">
        <x:v>22</x:v>
      </x:c>
      <x:c r="B229" t="s">
        <x:v>315</x:v>
      </x:c>
      <x:c r="C229" t="s">
        <x:v>22</x:v>
      </x:c>
      <x:c r="D229" t="s">
        <x:v>218</x:v>
      </x:c>
      <x:c r="E229" t="s">
        <x:v>63</x:v>
      </x:c>
      <x:c r="F229" t="s">
        <x:v>26</x:v>
      </x:c>
      <x:c r="G229" t="s">
        <x:v>27</x:v>
      </x:c>
      <x:c r="H229" t="s">
        <x:v>302</x:v>
      </x:c>
      <x:c r="I229">
        <x:v>14</x:v>
      </x:c>
      <x:c r="L229">
        <x:v>0</x:v>
      </x:c>
      <x:c r="M229">
        <x:v>3</x:v>
      </x:c>
      <x:c r="N229">
        <x:v>4.28</x:v>
      </x:c>
      <x:c r="O229">
        <x:v>9</x:v>
      </x:c>
      <x:c r="P229">
        <x:v>0</x:v>
      </x:c>
      <x:c r="Q229">
        <x:v>0</x:v>
      </x:c>
      <x:c r="R229" s="10">
        <x:v>0</x:v>
      </x:c>
      <x:c r="S229">
        <x:v>0</x:v>
      </x:c>
      <x:c r="T229">
        <x:v>0</x:v>
      </x:c>
      <x:c r="U229" s="10">
        <x:v>0</x:v>
      </x:c>
      <x:c r="W229" s="11" t="n">
        <x:f>Summary!$B$2</x:f>
        <x:v>0.15</x:v>
      </x:c>
      <x:c r="X229" s="11" t="n">
        <x:f>IFERROR(AD229-Summary!$B$2,"")</x:f>
        <x:v>-0.15</x:v>
      </x:c>
      <x:c r="Y229" s="10" t="str">
        <x:f>IFERROR((U229/Q229)*Summary!$B$2,"")</x:f>
      </x:c>
      <x:c r="Z229" s="12" t="n">
        <x:f>IFERROR(Q229/O229,0)</x:f>
        <x:v>0</x:v>
      </x:c>
      <x:c r="AA229" s="12" t="n">
        <x:f>IFERROR(T229/Q229,0)</x:f>
        <x:v>0</x:v>
      </x:c>
      <x:c r="AB229" s="10" t="n">
        <x:f>IFERROR(R229/Q229,0)</x:f>
        <x:v>0</x:v>
      </x:c>
      <x:c r="AC229" s="10" t="n">
        <x:f>IFERROR(U229/R229,0)</x:f>
        <x:v>0</x:v>
      </x:c>
      <x:c r="AD229" s="12" t="n">
        <x:f>IFERROR(R229/U229,0)</x:f>
        <x:v>0</x:v>
      </x:c>
      <x:c r="AE229" s="10" t="n">
        <x:f>IFERROR(U229/Q229,0)</x:f>
        <x:v>0</x:v>
      </x:c>
      <x:c r="AF229" s="10" t="n">
        <x:f>IF(Q229=0,M229,IF(U229=0,IF(Q229&gt;=10,MAX(0.02,M229*0.7),M229),IF(AD229=0,M229,MAX(0.02,IF(AD229&gt;Summary!$B$2,M229*Summary!$B$2/AD229,MIN(M229*1.2,M229*Summary!$B$2/AD229))))))</x:f>
        <x:v>3</x:v>
      </x:c>
      <x:c r="AG229" s="11" t="n">
        <x:f>IFERROR(AF229/M229-1,0)</x:f>
        <x:v>0</x:v>
      </x:c>
      <x:c r="AH229" t="str">
        <x:f>IF(Q229=0,"Need clicks",IF(AND(U229=0,Q229&gt;=10),"No sales: lower/pause",IF(AND(AD229&gt;Summary!$B$2,T229&gt;0),"Over target: reduce",IF(AND(AD229&lt;=Summary!$B$2,T229&gt;0),"At/under target: scale/hold",IF(AND(Q229&gt;0,T229=0),"Collect data","Review")))))</x:f>
        <x:v>Need clicks</x:v>
      </x:c>
      <x:c r="AI229" s="10" t="n">
        <x:f>IFERROR(IF(U229=0,R229,MAX(0,R229-(U229*Summary!$B$2))),0)</x:f>
        <x:v>0</x:v>
      </x:c>
      <x:c r="AJ229" t="str">
        <x:f>IF(AH229="No sales: lower/pause","Waste",IF(AH229="Over target: reduce","Inefficient",IF(AH229="At/under target: scale/hold","Efficient",IF(AND(O229&gt;=1000,Q229=0),"High imp/no click","Data gathering"))))</x:f>
        <x:v>Data gathering</x:v>
      </x:c>
    </x:row>
    <x:row r="230">
      <x:c r="A230" t="s">
        <x:v>22</x:v>
      </x:c>
      <x:c r="B230" t="s">
        <x:v>317</x:v>
      </x:c>
      <x:c r="C230" t="s">
        <x:v>22</x:v>
      </x:c>
      <x:c r="D230" t="s">
        <x:v>218</x:v>
      </x:c>
      <x:c r="E230" t="s">
        <x:v>63</x:v>
      </x:c>
      <x:c r="F230" t="s">
        <x:v>26</x:v>
      </x:c>
      <x:c r="G230" t="s">
        <x:v>27</x:v>
      </x:c>
      <x:c r="H230" t="s">
        <x:v>302</x:v>
      </x:c>
      <x:c r="I230">
        <x:v>14</x:v>
      </x:c>
      <x:c r="L230">
        <x:v>0</x:v>
      </x:c>
      <x:c r="M230">
        <x:v>3</x:v>
      </x:c>
      <x:c r="N230">
        <x:v>3.98</x:v>
      </x:c>
      <x:c r="O230">
        <x:v>27</x:v>
      </x:c>
      <x:c r="P230">
        <x:v>0</x:v>
      </x:c>
      <x:c r="Q230">
        <x:v>0</x:v>
      </x:c>
      <x:c r="R230" s="10">
        <x:v>0</x:v>
      </x:c>
      <x:c r="S230">
        <x:v>0</x:v>
      </x:c>
      <x:c r="T230">
        <x:v>0</x:v>
      </x:c>
      <x:c r="U230" s="10">
        <x:v>0</x:v>
      </x:c>
      <x:c r="W230" s="11" t="n">
        <x:f>Summary!$B$2</x:f>
        <x:v>0.15</x:v>
      </x:c>
      <x:c r="X230" s="11" t="n">
        <x:f>IFERROR(AD230-Summary!$B$2,"")</x:f>
        <x:v>-0.15</x:v>
      </x:c>
      <x:c r="Y230" s="10" t="str">
        <x:f>IFERROR((U230/Q230)*Summary!$B$2,"")</x:f>
      </x:c>
      <x:c r="Z230" s="12" t="n">
        <x:f>IFERROR(Q230/O230,0)</x:f>
        <x:v>0</x:v>
      </x:c>
      <x:c r="AA230" s="12" t="n">
        <x:f>IFERROR(T230/Q230,0)</x:f>
        <x:v>0</x:v>
      </x:c>
      <x:c r="AB230" s="10" t="n">
        <x:f>IFERROR(R230/Q230,0)</x:f>
        <x:v>0</x:v>
      </x:c>
      <x:c r="AC230" s="10" t="n">
        <x:f>IFERROR(U230/R230,0)</x:f>
        <x:v>0</x:v>
      </x:c>
      <x:c r="AD230" s="12" t="n">
        <x:f>IFERROR(R230/U230,0)</x:f>
        <x:v>0</x:v>
      </x:c>
      <x:c r="AE230" s="10" t="n">
        <x:f>IFERROR(U230/Q230,0)</x:f>
        <x:v>0</x:v>
      </x:c>
      <x:c r="AF230" s="10" t="n">
        <x:f>IF(Q230=0,M230,IF(U230=0,IF(Q230&gt;=10,MAX(0.02,M230*0.7),M230),IF(AD230=0,M230,MAX(0.02,IF(AD230&gt;Summary!$B$2,M230*Summary!$B$2/AD230,MIN(M230*1.2,M230*Summary!$B$2/AD230))))))</x:f>
        <x:v>3</x:v>
      </x:c>
      <x:c r="AG230" s="11" t="n">
        <x:f>IFERROR(AF230/M230-1,0)</x:f>
        <x:v>0</x:v>
      </x:c>
      <x:c r="AH230" t="str">
        <x:f>IF(Q230=0,"Need clicks",IF(AND(U230=0,Q230&gt;=10),"No sales: lower/pause",IF(AND(AD230&gt;Summary!$B$2,T230&gt;0),"Over target: reduce",IF(AND(AD230&lt;=Summary!$B$2,T230&gt;0),"At/under target: scale/hold",IF(AND(Q230&gt;0,T230=0),"Collect data","Review")))))</x:f>
        <x:v>Need clicks</x:v>
      </x:c>
      <x:c r="AI230" s="10" t="n">
        <x:f>IFERROR(IF(U230=0,R230,MAX(0,R230-(U230*Summary!$B$2))),0)</x:f>
        <x:v>0</x:v>
      </x:c>
      <x:c r="AJ230" t="str">
        <x:f>IF(AH230="No sales: lower/pause","Waste",IF(AH230="Over target: reduce","Inefficient",IF(AH230="At/under target: scale/hold","Efficient",IF(AND(O230&gt;=1000,Q230=0),"High imp/no click","Data gathering"))))</x:f>
        <x:v>Data gathering</x:v>
      </x:c>
    </x:row>
    <x:row r="231">
      <x:c r="A231" t="s">
        <x:v>22</x:v>
      </x:c>
      <x:c r="B231" t="s">
        <x:v>318</x:v>
      </x:c>
      <x:c r="C231" t="s">
        <x:v>22</x:v>
      </x:c>
      <x:c r="D231" t="s">
        <x:v>24</x:v>
      </x:c>
      <x:c r="E231" t="s">
        <x:v>63</x:v>
      </x:c>
      <x:c r="F231" t="s">
        <x:v>26</x:v>
      </x:c>
      <x:c r="G231" t="s">
        <x:v>27</x:v>
      </x:c>
      <x:c r="H231" t="s">
        <x:v>302</x:v>
      </x:c>
      <x:c r="I231">
        <x:v>14</x:v>
      </x:c>
      <x:c r="L231">
        <x:v>0</x:v>
      </x:c>
      <x:c r="M231">
        <x:v>3</x:v>
      </x:c>
      <x:c r="N231">
        <x:v>3.97</x:v>
      </x:c>
      <x:c r="O231">
        <x:v>34</x:v>
      </x:c>
      <x:c r="P231">
        <x:v>0</x:v>
      </x:c>
      <x:c r="Q231">
        <x:v>0</x:v>
      </x:c>
      <x:c r="R231" s="10">
        <x:v>0</x:v>
      </x:c>
      <x:c r="S231">
        <x:v>0</x:v>
      </x:c>
      <x:c r="T231">
        <x:v>0</x:v>
      </x:c>
      <x:c r="U231" s="10">
        <x:v>0</x:v>
      </x:c>
      <x:c r="W231" s="11" t="n">
        <x:f>Summary!$B$2</x:f>
        <x:v>0.15</x:v>
      </x:c>
      <x:c r="X231" s="11" t="n">
        <x:f>IFERROR(AD231-Summary!$B$2,"")</x:f>
        <x:v>-0.15</x:v>
      </x:c>
      <x:c r="Y231" s="10" t="str">
        <x:f>IFERROR((U231/Q231)*Summary!$B$2,"")</x:f>
      </x:c>
      <x:c r="Z231" s="12" t="n">
        <x:f>IFERROR(Q231/O231,0)</x:f>
        <x:v>0</x:v>
      </x:c>
      <x:c r="AA231" s="12" t="n">
        <x:f>IFERROR(T231/Q231,0)</x:f>
        <x:v>0</x:v>
      </x:c>
      <x:c r="AB231" s="10" t="n">
        <x:f>IFERROR(R231/Q231,0)</x:f>
        <x:v>0</x:v>
      </x:c>
      <x:c r="AC231" s="10" t="n">
        <x:f>IFERROR(U231/R231,0)</x:f>
        <x:v>0</x:v>
      </x:c>
      <x:c r="AD231" s="12" t="n">
        <x:f>IFERROR(R231/U231,0)</x:f>
        <x:v>0</x:v>
      </x:c>
      <x:c r="AE231" s="10" t="n">
        <x:f>IFERROR(U231/Q231,0)</x:f>
        <x:v>0</x:v>
      </x:c>
      <x:c r="AF231" s="10" t="n">
        <x:f>IF(Q231=0,M231,IF(U231=0,IF(Q231&gt;=10,MAX(0.02,M231*0.7),M231),IF(AD231=0,M231,MAX(0.02,IF(AD231&gt;Summary!$B$2,M231*Summary!$B$2/AD231,MIN(M231*1.2,M231*Summary!$B$2/AD231))))))</x:f>
        <x:v>3</x:v>
      </x:c>
      <x:c r="AG231" s="11" t="n">
        <x:f>IFERROR(AF231/M231-1,0)</x:f>
        <x:v>0</x:v>
      </x:c>
      <x:c r="AH231" t="str">
        <x:f>IF(Q231=0,"Need clicks",IF(AND(U231=0,Q231&gt;=10),"No sales: lower/pause",IF(AND(AD231&gt;Summary!$B$2,T231&gt;0),"Over target: reduce",IF(AND(AD231&lt;=Summary!$B$2,T231&gt;0),"At/under target: scale/hold",IF(AND(Q231&gt;0,T231=0),"Collect data","Review")))))</x:f>
        <x:v>Need clicks</x:v>
      </x:c>
      <x:c r="AI231" s="10" t="n">
        <x:f>IFERROR(IF(U231=0,R231,MAX(0,R231-(U231*Summary!$B$2))),0)</x:f>
        <x:v>0</x:v>
      </x:c>
      <x:c r="AJ231" t="str">
        <x:f>IF(AH231="No sales: lower/pause","Waste",IF(AH231="Over target: reduce","Inefficient",IF(AH231="At/under target: scale/hold","Efficient",IF(AND(O231&gt;=1000,Q231=0),"High imp/no click","Data gathering"))))</x:f>
        <x:v>Data gathering</x:v>
      </x:c>
    </x:row>
    <x:row r="232">
      <x:c r="A232" t="s">
        <x:v>22</x:v>
      </x:c>
      <x:c r="B232" t="s">
        <x:v>319</x:v>
      </x:c>
      <x:c r="C232" t="s">
        <x:v>22</x:v>
      </x:c>
      <x:c r="D232" t="s">
        <x:v>24</x:v>
      </x:c>
      <x:c r="E232" t="s">
        <x:v>63</x:v>
      </x:c>
      <x:c r="F232" t="s">
        <x:v>26</x:v>
      </x:c>
      <x:c r="G232" t="s">
        <x:v>27</x:v>
      </x:c>
      <x:c r="H232" t="s">
        <x:v>302</x:v>
      </x:c>
      <x:c r="I232">
        <x:v>14</x:v>
      </x:c>
      <x:c r="L232">
        <x:v>0</x:v>
      </x:c>
      <x:c r="M232">
        <x:v>3</x:v>
      </x:c>
      <x:c r="N232">
        <x:v>4.09</x:v>
      </x:c>
      <x:c r="O232">
        <x:v>95</x:v>
      </x:c>
      <x:c r="P232">
        <x:v>3.1661600810536901E-3</x:v>
      </x:c>
      <x:c r="Q232">
        <x:v>0</x:v>
      </x:c>
      <x:c r="R232" s="10">
        <x:v>0</x:v>
      </x:c>
      <x:c r="S232">
        <x:v>0</x:v>
      </x:c>
      <x:c r="T232">
        <x:v>0</x:v>
      </x:c>
      <x:c r="U232" s="10">
        <x:v>0</x:v>
      </x:c>
      <x:c r="W232" s="11" t="n">
        <x:f>Summary!$B$2</x:f>
        <x:v>0.15</x:v>
      </x:c>
      <x:c r="X232" s="11" t="n">
        <x:f>IFERROR(AD232-Summary!$B$2,"")</x:f>
        <x:v>-0.15</x:v>
      </x:c>
      <x:c r="Y232" s="10" t="str">
        <x:f>IFERROR((U232/Q232)*Summary!$B$2,"")</x:f>
      </x:c>
      <x:c r="Z232" s="12" t="n">
        <x:f>IFERROR(Q232/O232,0)</x:f>
        <x:v>0</x:v>
      </x:c>
      <x:c r="AA232" s="12" t="n">
        <x:f>IFERROR(T232/Q232,0)</x:f>
        <x:v>0</x:v>
      </x:c>
      <x:c r="AB232" s="10" t="n">
        <x:f>IFERROR(R232/Q232,0)</x:f>
        <x:v>0</x:v>
      </x:c>
      <x:c r="AC232" s="10" t="n">
        <x:f>IFERROR(U232/R232,0)</x:f>
        <x:v>0</x:v>
      </x:c>
      <x:c r="AD232" s="12" t="n">
        <x:f>IFERROR(R232/U232,0)</x:f>
        <x:v>0</x:v>
      </x:c>
      <x:c r="AE232" s="10" t="n">
        <x:f>IFERROR(U232/Q232,0)</x:f>
        <x:v>0</x:v>
      </x:c>
      <x:c r="AF232" s="10" t="n">
        <x:f>IF(Q232=0,M232,IF(U232=0,IF(Q232&gt;=10,MAX(0.02,M232*0.7),M232),IF(AD232=0,M232,MAX(0.02,IF(AD232&gt;Summary!$B$2,M232*Summary!$B$2/AD232,MIN(M232*1.2,M232*Summary!$B$2/AD232))))))</x:f>
        <x:v>3</x:v>
      </x:c>
      <x:c r="AG232" s="11" t="n">
        <x:f>IFERROR(AF232/M232-1,0)</x:f>
        <x:v>0</x:v>
      </x:c>
      <x:c r="AH232" t="str">
        <x:f>IF(Q232=0,"Need clicks",IF(AND(U232=0,Q232&gt;=10),"No sales: lower/pause",IF(AND(AD232&gt;Summary!$B$2,T232&gt;0),"Over target: reduce",IF(AND(AD232&lt;=Summary!$B$2,T232&gt;0),"At/under target: scale/hold",IF(AND(Q232&gt;0,T232=0),"Collect data","Review")))))</x:f>
        <x:v>Need clicks</x:v>
      </x:c>
      <x:c r="AI232" s="10" t="n">
        <x:f>IFERROR(IF(U232=0,R232,MAX(0,R232-(U232*Summary!$B$2))),0)</x:f>
        <x:v>0</x:v>
      </x:c>
      <x:c r="AJ232" t="str">
        <x:f>IF(AH232="No sales: lower/pause","Waste",IF(AH232="Over target: reduce","Inefficient",IF(AH232="At/under target: scale/hold","Efficient",IF(AND(O232&gt;=1000,Q232=0),"High imp/no click","Data gathering"))))</x:f>
        <x:v>Data gathering</x:v>
      </x:c>
    </x:row>
    <x:row r="233">
      <x:c r="A233" t="s">
        <x:v>22</x:v>
      </x:c>
      <x:c r="B233" t="s">
        <x:v>320</x:v>
      </x:c>
      <x:c r="C233" t="s">
        <x:v>22</x:v>
      </x:c>
      <x:c r="D233" t="s">
        <x:v>24</x:v>
      </x:c>
      <x:c r="E233" t="s">
        <x:v>63</x:v>
      </x:c>
      <x:c r="F233" t="s">
        <x:v>26</x:v>
      </x:c>
      <x:c r="G233" t="s">
        <x:v>27</x:v>
      </x:c>
      <x:c r="H233" t="s">
        <x:v>302</x:v>
      </x:c>
      <x:c r="I233">
        <x:v>14</x:v>
      </x:c>
      <x:c r="L233">
        <x:v>0</x:v>
      </x:c>
      <x:c r="M233">
        <x:v>3</x:v>
      </x:c>
      <x:c r="N233">
        <x:v>4.3600000000000003</x:v>
      </x:c>
      <x:c r="O233">
        <x:v>83</x:v>
      </x:c>
      <x:c r="P233" s="1" t="s">
        <x:v>321</x:v>
      </x:c>
      <x:c r="Q233">
        <x:v>0</x:v>
      </x:c>
      <x:c r="R233" s="10">
        <x:v>0</x:v>
      </x:c>
      <x:c r="S233">
        <x:v>0</x:v>
      </x:c>
      <x:c r="T233">
        <x:v>0</x:v>
      </x:c>
      <x:c r="U233" s="10">
        <x:v>0</x:v>
      </x:c>
      <x:c r="W233" s="11" t="n">
        <x:f>Summary!$B$2</x:f>
        <x:v>0.15</x:v>
      </x:c>
      <x:c r="X233" s="11" t="n">
        <x:f>IFERROR(AD233-Summary!$B$2,"")</x:f>
        <x:v>-0.15</x:v>
      </x:c>
      <x:c r="Y233" s="10" t="str">
        <x:f>IFERROR((U233/Q233)*Summary!$B$2,"")</x:f>
      </x:c>
      <x:c r="Z233" s="12" t="n">
        <x:f>IFERROR(Q233/O233,0)</x:f>
        <x:v>0</x:v>
      </x:c>
      <x:c r="AA233" s="12" t="n">
        <x:f>IFERROR(T233/Q233,0)</x:f>
        <x:v>0</x:v>
      </x:c>
      <x:c r="AB233" s="10" t="n">
        <x:f>IFERROR(R233/Q233,0)</x:f>
        <x:v>0</x:v>
      </x:c>
      <x:c r="AC233" s="10" t="n">
        <x:f>IFERROR(U233/R233,0)</x:f>
        <x:v>0</x:v>
      </x:c>
      <x:c r="AD233" s="12" t="n">
        <x:f>IFERROR(R233/U233,0)</x:f>
        <x:v>0</x:v>
      </x:c>
      <x:c r="AE233" s="10" t="n">
        <x:f>IFERROR(U233/Q233,0)</x:f>
        <x:v>0</x:v>
      </x:c>
      <x:c r="AF233" s="10" t="n">
        <x:f>IF(Q233=0,M233,IF(U233=0,IF(Q233&gt;=10,MAX(0.02,M233*0.7),M233),IF(AD233=0,M233,MAX(0.02,IF(AD233&gt;Summary!$B$2,M233*Summary!$B$2/AD233,MIN(M233*1.2,M233*Summary!$B$2/AD233))))))</x:f>
        <x:v>3</x:v>
      </x:c>
      <x:c r="AG233" s="11" t="n">
        <x:f>IFERROR(AF233/M233-1,0)</x:f>
        <x:v>0</x:v>
      </x:c>
      <x:c r="AH233" t="str">
        <x:f>IF(Q233=0,"Need clicks",IF(AND(U233=0,Q233&gt;=10),"No sales: lower/pause",IF(AND(AD233&gt;Summary!$B$2,T233&gt;0),"Over target: reduce",IF(AND(AD233&lt;=Summary!$B$2,T233&gt;0),"At/under target: scale/hold",IF(AND(Q233&gt;0,T233=0),"Collect data","Review")))))</x:f>
        <x:v>Need clicks</x:v>
      </x:c>
      <x:c r="AI233" s="10" t="n">
        <x:f>IFERROR(IF(U233=0,R233,MAX(0,R233-(U233*Summary!$B$2))),0)</x:f>
        <x:v>0</x:v>
      </x:c>
      <x:c r="AJ233" t="str">
        <x:f>IF(AH233="No sales: lower/pause","Waste",IF(AH233="Over target: reduce","Inefficient",IF(AH233="At/under target: scale/hold","Efficient",IF(AND(O233&gt;=1000,Q233=0),"High imp/no click","Data gathering"))))</x:f>
        <x:v>Data gathering</x:v>
      </x:c>
    </x:row>
    <x:row r="234">
      <x:c r="A234" t="s">
        <x:v>22</x:v>
      </x:c>
      <x:c r="B234" t="s">
        <x:v>320</x:v>
      </x:c>
      <x:c r="C234" t="s">
        <x:v>22</x:v>
      </x:c>
      <x:c r="D234" t="s">
        <x:v>218</x:v>
      </x:c>
      <x:c r="E234" t="s">
        <x:v>63</x:v>
      </x:c>
      <x:c r="F234" t="s">
        <x:v>26</x:v>
      </x:c>
      <x:c r="G234" t="s">
        <x:v>27</x:v>
      </x:c>
      <x:c r="H234" t="s">
        <x:v>302</x:v>
      </x:c>
      <x:c r="I234">
        <x:v>14</x:v>
      </x:c>
      <x:c r="L234">
        <x:v>0</x:v>
      </x:c>
      <x:c r="M234">
        <x:v>3</x:v>
      </x:c>
      <x:c r="N234">
        <x:v>4.38</x:v>
      </x:c>
      <x:c r="O234">
        <x:v>6</x:v>
      </x:c>
      <x:c r="Q234">
        <x:v>0</x:v>
      </x:c>
      <x:c r="R234" s="10">
        <x:v>0</x:v>
      </x:c>
      <x:c r="S234">
        <x:v>0</x:v>
      </x:c>
      <x:c r="T234">
        <x:v>0</x:v>
      </x:c>
      <x:c r="U234" s="10">
        <x:v>0</x:v>
      </x:c>
      <x:c r="W234" s="11" t="n">
        <x:f>Summary!$B$2</x:f>
        <x:v>0.15</x:v>
      </x:c>
      <x:c r="X234" s="11" t="n">
        <x:f>IFERROR(AD234-Summary!$B$2,"")</x:f>
        <x:v>-0.15</x:v>
      </x:c>
      <x:c r="Y234" s="10" t="str">
        <x:f>IFERROR((U234/Q234)*Summary!$B$2,"")</x:f>
      </x:c>
      <x:c r="Z234" s="12" t="n">
        <x:f>IFERROR(Q234/O234,0)</x:f>
        <x:v>0</x:v>
      </x:c>
      <x:c r="AA234" s="12" t="n">
        <x:f>IFERROR(T234/Q234,0)</x:f>
        <x:v>0</x:v>
      </x:c>
      <x:c r="AB234" s="10" t="n">
        <x:f>IFERROR(R234/Q234,0)</x:f>
        <x:v>0</x:v>
      </x:c>
      <x:c r="AC234" s="10" t="n">
        <x:f>IFERROR(U234/R234,0)</x:f>
        <x:v>0</x:v>
      </x:c>
      <x:c r="AD234" s="12" t="n">
        <x:f>IFERROR(R234/U234,0)</x:f>
        <x:v>0</x:v>
      </x:c>
      <x:c r="AE234" s="10" t="n">
        <x:f>IFERROR(U234/Q234,0)</x:f>
        <x:v>0</x:v>
      </x:c>
      <x:c r="AF234" s="10" t="n">
        <x:f>IF(Q234=0,M234,IF(U234=0,IF(Q234&gt;=10,MAX(0.02,M234*0.7),M234),IF(AD234=0,M234,MAX(0.02,IF(AD234&gt;Summary!$B$2,M234*Summary!$B$2/AD234,MIN(M234*1.2,M234*Summary!$B$2/AD234))))))</x:f>
        <x:v>3</x:v>
      </x:c>
      <x:c r="AG234" s="11" t="n">
        <x:f>IFERROR(AF234/M234-1,0)</x:f>
        <x:v>0</x:v>
      </x:c>
      <x:c r="AH234" t="str">
        <x:f>IF(Q234=0,"Need clicks",IF(AND(U234=0,Q234&gt;=10),"No sales: lower/pause",IF(AND(AD234&gt;Summary!$B$2,T234&gt;0),"Over target: reduce",IF(AND(AD234&lt;=Summary!$B$2,T234&gt;0),"At/under target: scale/hold",IF(AND(Q234&gt;0,T234=0),"Collect data","Review")))))</x:f>
        <x:v>Need clicks</x:v>
      </x:c>
      <x:c r="AI234" s="10" t="n">
        <x:f>IFERROR(IF(U234=0,R234,MAX(0,R234-(U234*Summary!$B$2))),0)</x:f>
        <x:v>0</x:v>
      </x:c>
      <x:c r="AJ234" t="str">
        <x:f>IF(AH234="No sales: lower/pause","Waste",IF(AH234="Over target: reduce","Inefficient",IF(AH234="At/under target: scale/hold","Efficient",IF(AND(O234&gt;=1000,Q234=0),"High imp/no click","Data gathering"))))</x:f>
        <x:v>Data gathering</x:v>
      </x:c>
    </x:row>
    <x:row r="235">
      <x:c r="A235" t="s">
        <x:v>22</x:v>
      </x:c>
      <x:c r="B235" t="s">
        <x:v>322</x:v>
      </x:c>
      <x:c r="C235" t="s">
        <x:v>22</x:v>
      </x:c>
      <x:c r="D235" t="s">
        <x:v>24</x:v>
      </x:c>
      <x:c r="E235" t="s">
        <x:v>63</x:v>
      </x:c>
      <x:c r="F235" t="s">
        <x:v>26</x:v>
      </x:c>
      <x:c r="G235" t="s">
        <x:v>27</x:v>
      </x:c>
      <x:c r="H235" t="s">
        <x:v>302</x:v>
      </x:c>
      <x:c r="I235">
        <x:v>14</x:v>
      </x:c>
      <x:c r="L235">
        <x:v>0</x:v>
      </x:c>
      <x:c r="M235">
        <x:v>3</x:v>
      </x:c>
      <x:c r="N235">
        <x:v>3.23</x:v>
      </x:c>
      <x:c r="O235">
        <x:v>3</x:v>
      </x:c>
      <x:c r="P235" s="1" t="s">
        <x:v>323</x:v>
      </x:c>
      <x:c r="Q235">
        <x:v>0</x:v>
      </x:c>
      <x:c r="R235" s="10">
        <x:v>0</x:v>
      </x:c>
      <x:c r="S235">
        <x:v>0</x:v>
      </x:c>
      <x:c r="T235">
        <x:v>0</x:v>
      </x:c>
      <x:c r="U235" s="10">
        <x:v>0</x:v>
      </x:c>
      <x:c r="W235" s="11" t="n">
        <x:f>Summary!$B$2</x:f>
        <x:v>0.15</x:v>
      </x:c>
      <x:c r="X235" s="11" t="n">
        <x:f>IFERROR(AD235-Summary!$B$2,"")</x:f>
        <x:v>-0.15</x:v>
      </x:c>
      <x:c r="Y235" s="10" t="str">
        <x:f>IFERROR((U235/Q235)*Summary!$B$2,"")</x:f>
      </x:c>
      <x:c r="Z235" s="12" t="n">
        <x:f>IFERROR(Q235/O235,0)</x:f>
        <x:v>0</x:v>
      </x:c>
      <x:c r="AA235" s="12" t="n">
        <x:f>IFERROR(T235/Q235,0)</x:f>
        <x:v>0</x:v>
      </x:c>
      <x:c r="AB235" s="10" t="n">
        <x:f>IFERROR(R235/Q235,0)</x:f>
        <x:v>0</x:v>
      </x:c>
      <x:c r="AC235" s="10" t="n">
        <x:f>IFERROR(U235/R235,0)</x:f>
        <x:v>0</x:v>
      </x:c>
      <x:c r="AD235" s="12" t="n">
        <x:f>IFERROR(R235/U235,0)</x:f>
        <x:v>0</x:v>
      </x:c>
      <x:c r="AE235" s="10" t="n">
        <x:f>IFERROR(U235/Q235,0)</x:f>
        <x:v>0</x:v>
      </x:c>
      <x:c r="AF235" s="10" t="n">
        <x:f>IF(Q235=0,M235,IF(U235=0,IF(Q235&gt;=10,MAX(0.02,M235*0.7),M235),IF(AD235=0,M235,MAX(0.02,IF(AD235&gt;Summary!$B$2,M235*Summary!$B$2/AD235,MIN(M235*1.2,M235*Summary!$B$2/AD235))))))</x:f>
        <x:v>3</x:v>
      </x:c>
      <x:c r="AG235" s="11" t="n">
        <x:f>IFERROR(AF235/M235-1,0)</x:f>
        <x:v>0</x:v>
      </x:c>
      <x:c r="AH235" t="str">
        <x:f>IF(Q235=0,"Need clicks",IF(AND(U235=0,Q235&gt;=10),"No sales: lower/pause",IF(AND(AD235&gt;Summary!$B$2,T235&gt;0),"Over target: reduce",IF(AND(AD235&lt;=Summary!$B$2,T235&gt;0),"At/under target: scale/hold",IF(AND(Q235&gt;0,T235=0),"Collect data","Review")))))</x:f>
        <x:v>Need clicks</x:v>
      </x:c>
      <x:c r="AI235" s="10" t="n">
        <x:f>IFERROR(IF(U235=0,R235,MAX(0,R235-(U235*Summary!$B$2))),0)</x:f>
        <x:v>0</x:v>
      </x:c>
      <x:c r="AJ235" t="str">
        <x:f>IF(AH235="No sales: lower/pause","Waste",IF(AH235="Over target: reduce","Inefficient",IF(AH235="At/under target: scale/hold","Efficient",IF(AND(O235&gt;=1000,Q235=0),"High imp/no click","Data gathering"))))</x:f>
        <x:v>Data gathering</x:v>
      </x:c>
    </x:row>
    <x:row r="236">
      <x:c r="A236" t="s">
        <x:v>22</x:v>
      </x:c>
      <x:c r="B236" t="s">
        <x:v>322</x:v>
      </x:c>
      <x:c r="C236" t="s">
        <x:v>22</x:v>
      </x:c>
      <x:c r="D236" t="s">
        <x:v>218</x:v>
      </x:c>
      <x:c r="E236" t="s">
        <x:v>63</x:v>
      </x:c>
      <x:c r="F236" t="s">
        <x:v>26</x:v>
      </x:c>
      <x:c r="G236" t="s">
        <x:v>27</x:v>
      </x:c>
      <x:c r="H236" t="s">
        <x:v>302</x:v>
      </x:c>
      <x:c r="I236">
        <x:v>14</x:v>
      </x:c>
      <x:c r="L236">
        <x:v>0</x:v>
      </x:c>
      <x:c r="M236">
        <x:v>3</x:v>
      </x:c>
      <x:c r="N236">
        <x:v>3.7</x:v>
      </x:c>
      <x:c r="O236">
        <x:v>2</x:v>
      </x:c>
      <x:c r="P236">
        <x:v>0</x:v>
      </x:c>
      <x:c r="Q236">
        <x:v>0</x:v>
      </x:c>
      <x:c r="R236" s="10">
        <x:v>0</x:v>
      </x:c>
      <x:c r="S236">
        <x:v>0</x:v>
      </x:c>
      <x:c r="T236">
        <x:v>0</x:v>
      </x:c>
      <x:c r="U236" s="10">
        <x:v>0</x:v>
      </x:c>
      <x:c r="W236" s="11" t="n">
        <x:f>Summary!$B$2</x:f>
        <x:v>0.15</x:v>
      </x:c>
      <x:c r="X236" s="11" t="n">
        <x:f>IFERROR(AD236-Summary!$B$2,"")</x:f>
        <x:v>-0.15</x:v>
      </x:c>
      <x:c r="Y236" s="10" t="str">
        <x:f>IFERROR((U236/Q236)*Summary!$B$2,"")</x:f>
      </x:c>
      <x:c r="Z236" s="12" t="n">
        <x:f>IFERROR(Q236/O236,0)</x:f>
        <x:v>0</x:v>
      </x:c>
      <x:c r="AA236" s="12" t="n">
        <x:f>IFERROR(T236/Q236,0)</x:f>
        <x:v>0</x:v>
      </x:c>
      <x:c r="AB236" s="10" t="n">
        <x:f>IFERROR(R236/Q236,0)</x:f>
        <x:v>0</x:v>
      </x:c>
      <x:c r="AC236" s="10" t="n">
        <x:f>IFERROR(U236/R236,0)</x:f>
        <x:v>0</x:v>
      </x:c>
      <x:c r="AD236" s="12" t="n">
        <x:f>IFERROR(R236/U236,0)</x:f>
        <x:v>0</x:v>
      </x:c>
      <x:c r="AE236" s="10" t="n">
        <x:f>IFERROR(U236/Q236,0)</x:f>
        <x:v>0</x:v>
      </x:c>
      <x:c r="AF236" s="10" t="n">
        <x:f>IF(Q236=0,M236,IF(U236=0,IF(Q236&gt;=10,MAX(0.02,M236*0.7),M236),IF(AD236=0,M236,MAX(0.02,IF(AD236&gt;Summary!$B$2,M236*Summary!$B$2/AD236,MIN(M236*1.2,M236*Summary!$B$2/AD236))))))</x:f>
        <x:v>3</x:v>
      </x:c>
      <x:c r="AG236" s="11" t="n">
        <x:f>IFERROR(AF236/M236-1,0)</x:f>
        <x:v>0</x:v>
      </x:c>
      <x:c r="AH236" t="str">
        <x:f>IF(Q236=0,"Need clicks",IF(AND(U236=0,Q236&gt;=10),"No sales: lower/pause",IF(AND(AD236&gt;Summary!$B$2,T236&gt;0),"Over target: reduce",IF(AND(AD236&lt;=Summary!$B$2,T236&gt;0),"At/under target: scale/hold",IF(AND(Q236&gt;0,T236=0),"Collect data","Review")))))</x:f>
        <x:v>Need clicks</x:v>
      </x:c>
      <x:c r="AI236" s="10" t="n">
        <x:f>IFERROR(IF(U236=0,R236,MAX(0,R236-(U236*Summary!$B$2))),0)</x:f>
        <x:v>0</x:v>
      </x:c>
      <x:c r="AJ236" t="str">
        <x:f>IF(AH236="No sales: lower/pause","Waste",IF(AH236="Over target: reduce","Inefficient",IF(AH236="At/under target: scale/hold","Efficient",IF(AND(O236&gt;=1000,Q236=0),"High imp/no click","Data gathering"))))</x:f>
        <x:v>Data gathering</x:v>
      </x:c>
    </x:row>
    <x:row r="237">
      <x:c r="A237" t="s">
        <x:v>22</x:v>
      </x:c>
      <x:c r="B237" t="s">
        <x:v>324</x:v>
      </x:c>
      <x:c r="C237" t="s">
        <x:v>22</x:v>
      </x:c>
      <x:c r="D237" t="s">
        <x:v>24</x:v>
      </x:c>
      <x:c r="E237" t="s">
        <x:v>63</x:v>
      </x:c>
      <x:c r="F237" t="s">
        <x:v>26</x:v>
      </x:c>
      <x:c r="G237" t="s">
        <x:v>27</x:v>
      </x:c>
      <x:c r="H237" t="s">
        <x:v>302</x:v>
      </x:c>
      <x:c r="I237">
        <x:v>14</x:v>
      </x:c>
      <x:c r="L237">
        <x:v>0</x:v>
      </x:c>
      <x:c r="M237">
        <x:v>3</x:v>
      </x:c>
      <x:c r="N237">
        <x:v>5.13</x:v>
      </x:c>
      <x:c r="O237">
        <x:v>36</x:v>
      </x:c>
      <x:c r="P237">
        <x:v>0</x:v>
      </x:c>
      <x:c r="Q237">
        <x:v>0</x:v>
      </x:c>
      <x:c r="R237" s="10">
        <x:v>0</x:v>
      </x:c>
      <x:c r="S237">
        <x:v>0</x:v>
      </x:c>
      <x:c r="T237">
        <x:v>0</x:v>
      </x:c>
      <x:c r="U237" s="10">
        <x:v>0</x:v>
      </x:c>
      <x:c r="W237" s="11" t="n">
        <x:f>Summary!$B$2</x:f>
        <x:v>0.15</x:v>
      </x:c>
      <x:c r="X237" s="11" t="n">
        <x:f>IFERROR(AD237-Summary!$B$2,"")</x:f>
        <x:v>-0.15</x:v>
      </x:c>
      <x:c r="Y237" s="10" t="str">
        <x:f>IFERROR((U237/Q237)*Summary!$B$2,"")</x:f>
      </x:c>
      <x:c r="Z237" s="12" t="n">
        <x:f>IFERROR(Q237/O237,0)</x:f>
        <x:v>0</x:v>
      </x:c>
      <x:c r="AA237" s="12" t="n">
        <x:f>IFERROR(T237/Q237,0)</x:f>
        <x:v>0</x:v>
      </x:c>
      <x:c r="AB237" s="10" t="n">
        <x:f>IFERROR(R237/Q237,0)</x:f>
        <x:v>0</x:v>
      </x:c>
      <x:c r="AC237" s="10" t="n">
        <x:f>IFERROR(U237/R237,0)</x:f>
        <x:v>0</x:v>
      </x:c>
      <x:c r="AD237" s="12" t="n">
        <x:f>IFERROR(R237/U237,0)</x:f>
        <x:v>0</x:v>
      </x:c>
      <x:c r="AE237" s="10" t="n">
        <x:f>IFERROR(U237/Q237,0)</x:f>
        <x:v>0</x:v>
      </x:c>
      <x:c r="AF237" s="10" t="n">
        <x:f>IF(Q237=0,M237,IF(U237=0,IF(Q237&gt;=10,MAX(0.02,M237*0.7),M237),IF(AD237=0,M237,MAX(0.02,IF(AD237&gt;Summary!$B$2,M237*Summary!$B$2/AD237,MIN(M237*1.2,M237*Summary!$B$2/AD237))))))</x:f>
        <x:v>3</x:v>
      </x:c>
      <x:c r="AG237" s="11" t="n">
        <x:f>IFERROR(AF237/M237-1,0)</x:f>
        <x:v>0</x:v>
      </x:c>
      <x:c r="AH237" t="str">
        <x:f>IF(Q237=0,"Need clicks",IF(AND(U237=0,Q237&gt;=10),"No sales: lower/pause",IF(AND(AD237&gt;Summary!$B$2,T237&gt;0),"Over target: reduce",IF(AND(AD237&lt;=Summary!$B$2,T237&gt;0),"At/under target: scale/hold",IF(AND(Q237&gt;0,T237=0),"Collect data","Review")))))</x:f>
        <x:v>Need clicks</x:v>
      </x:c>
      <x:c r="AI237" s="10" t="n">
        <x:f>IFERROR(IF(U237=0,R237,MAX(0,R237-(U237*Summary!$B$2))),0)</x:f>
        <x:v>0</x:v>
      </x:c>
      <x:c r="AJ237" t="str">
        <x:f>IF(AH237="No sales: lower/pause","Waste",IF(AH237="Over target: reduce","Inefficient",IF(AH237="At/under target: scale/hold","Efficient",IF(AND(O237&gt;=1000,Q237=0),"High imp/no click","Data gathering"))))</x:f>
        <x:v>Data gathering</x:v>
      </x:c>
    </x:row>
    <x:row r="238">
      <x:c r="A238" t="s">
        <x:v>22</x:v>
      </x:c>
      <x:c r="B238" t="s">
        <x:v>325</x:v>
      </x:c>
      <x:c r="C238" t="s">
        <x:v>22</x:v>
      </x:c>
      <x:c r="D238" t="s">
        <x:v>24</x:v>
      </x:c>
      <x:c r="E238" t="s">
        <x:v>63</x:v>
      </x:c>
      <x:c r="F238" t="s">
        <x:v>26</x:v>
      </x:c>
      <x:c r="G238" t="s">
        <x:v>27</x:v>
      </x:c>
      <x:c r="H238" t="s">
        <x:v>302</x:v>
      </x:c>
      <x:c r="I238">
        <x:v>14</x:v>
      </x:c>
      <x:c r="L238">
        <x:v>0</x:v>
      </x:c>
      <x:c r="M238">
        <x:v>3</x:v>
      </x:c>
      <x:c r="N238">
        <x:v>3.44</x:v>
      </x:c>
      <x:c r="O238">
        <x:v>541</x:v>
      </x:c>
      <x:c r="P238" s="1" t="s">
        <x:v>326</x:v>
      </x:c>
      <x:c r="Q238">
        <x:v>0</x:v>
      </x:c>
      <x:c r="R238" s="10">
        <x:v>0</x:v>
      </x:c>
      <x:c r="S238">
        <x:v>0</x:v>
      </x:c>
      <x:c r="T238">
        <x:v>0</x:v>
      </x:c>
      <x:c r="U238" s="10">
        <x:v>0</x:v>
      </x:c>
      <x:c r="W238" s="11" t="n">
        <x:f>Summary!$B$2</x:f>
        <x:v>0.15</x:v>
      </x:c>
      <x:c r="X238" s="11" t="n">
        <x:f>IFERROR(AD238-Summary!$B$2,"")</x:f>
        <x:v>-0.15</x:v>
      </x:c>
      <x:c r="Y238" s="10" t="str">
        <x:f>IFERROR((U238/Q238)*Summary!$B$2,"")</x:f>
      </x:c>
      <x:c r="Z238" s="12" t="n">
        <x:f>IFERROR(Q238/O238,0)</x:f>
        <x:v>0</x:v>
      </x:c>
      <x:c r="AA238" s="12" t="n">
        <x:f>IFERROR(T238/Q238,0)</x:f>
        <x:v>0</x:v>
      </x:c>
      <x:c r="AB238" s="10" t="n">
        <x:f>IFERROR(R238/Q238,0)</x:f>
        <x:v>0</x:v>
      </x:c>
      <x:c r="AC238" s="10" t="n">
        <x:f>IFERROR(U238/R238,0)</x:f>
        <x:v>0</x:v>
      </x:c>
      <x:c r="AD238" s="12" t="n">
        <x:f>IFERROR(R238/U238,0)</x:f>
        <x:v>0</x:v>
      </x:c>
      <x:c r="AE238" s="10" t="n">
        <x:f>IFERROR(U238/Q238,0)</x:f>
        <x:v>0</x:v>
      </x:c>
      <x:c r="AF238" s="10" t="n">
        <x:f>IF(Q238=0,M238,IF(U238=0,IF(Q238&gt;=10,MAX(0.02,M238*0.7),M238),IF(AD238=0,M238,MAX(0.02,IF(AD238&gt;Summary!$B$2,M238*Summary!$B$2/AD238,MIN(M238*1.2,M238*Summary!$B$2/AD238))))))</x:f>
        <x:v>3</x:v>
      </x:c>
      <x:c r="AG238" s="11" t="n">
        <x:f>IFERROR(AF238/M238-1,0)</x:f>
        <x:v>0</x:v>
      </x:c>
      <x:c r="AH238" t="str">
        <x:f>IF(Q238=0,"Need clicks",IF(AND(U238=0,Q238&gt;=10),"No sales: lower/pause",IF(AND(AD238&gt;Summary!$B$2,T238&gt;0),"Over target: reduce",IF(AND(AD238&lt;=Summary!$B$2,T238&gt;0),"At/under target: scale/hold",IF(AND(Q238&gt;0,T238=0),"Collect data","Review")))))</x:f>
        <x:v>Need clicks</x:v>
      </x:c>
      <x:c r="AI238" s="10" t="n">
        <x:f>IFERROR(IF(U238=0,R238,MAX(0,R238-(U238*Summary!$B$2))),0)</x:f>
        <x:v>0</x:v>
      </x:c>
      <x:c r="AJ238" t="str">
        <x:f>IF(AH238="No sales: lower/pause","Waste",IF(AH238="Over target: reduce","Inefficient",IF(AH238="At/under target: scale/hold","Efficient",IF(AND(O238&gt;=1000,Q238=0),"High imp/no click","Data gathering"))))</x:f>
        <x:v>Data gathering</x:v>
      </x:c>
    </x:row>
    <x:row r="239">
      <x:c r="A239" t="s">
        <x:v>22</x:v>
      </x:c>
      <x:c r="B239" t="s">
        <x:v>325</x:v>
      </x:c>
      <x:c r="C239" t="s">
        <x:v>22</x:v>
      </x:c>
      <x:c r="D239" t="s">
        <x:v>218</x:v>
      </x:c>
      <x:c r="E239" t="s">
        <x:v>63</x:v>
      </x:c>
      <x:c r="F239" t="s">
        <x:v>26</x:v>
      </x:c>
      <x:c r="G239" t="s">
        <x:v>27</x:v>
      </x:c>
      <x:c r="H239" t="s">
        <x:v>302</x:v>
      </x:c>
      <x:c r="I239">
        <x:v>14</x:v>
      </x:c>
      <x:c r="L239">
        <x:v>0</x:v>
      </x:c>
      <x:c r="M239">
        <x:v>3</x:v>
      </x:c>
      <x:c r="N239">
        <x:v>3.47</x:v>
      </x:c>
      <x:c r="O239">
        <x:v>71</x:v>
      </x:c>
      <x:c r="P239">
        <x:v>0</x:v>
      </x:c>
      <x:c r="Q239">
        <x:v>0</x:v>
      </x:c>
      <x:c r="R239" s="10">
        <x:v>0</x:v>
      </x:c>
      <x:c r="S239">
        <x:v>0</x:v>
      </x:c>
      <x:c r="T239">
        <x:v>0</x:v>
      </x:c>
      <x:c r="U239" s="10">
        <x:v>0</x:v>
      </x:c>
      <x:c r="W239" s="11" t="n">
        <x:f>Summary!$B$2</x:f>
        <x:v>0.15</x:v>
      </x:c>
      <x:c r="X239" s="11" t="n">
        <x:f>IFERROR(AD239-Summary!$B$2,"")</x:f>
        <x:v>-0.15</x:v>
      </x:c>
      <x:c r="Y239" s="10" t="str">
        <x:f>IFERROR((U239/Q239)*Summary!$B$2,"")</x:f>
      </x:c>
      <x:c r="Z239" s="12" t="n">
        <x:f>IFERROR(Q239/O239,0)</x:f>
        <x:v>0</x:v>
      </x:c>
      <x:c r="AA239" s="12" t="n">
        <x:f>IFERROR(T239/Q239,0)</x:f>
        <x:v>0</x:v>
      </x:c>
      <x:c r="AB239" s="10" t="n">
        <x:f>IFERROR(R239/Q239,0)</x:f>
        <x:v>0</x:v>
      </x:c>
      <x:c r="AC239" s="10" t="n">
        <x:f>IFERROR(U239/R239,0)</x:f>
        <x:v>0</x:v>
      </x:c>
      <x:c r="AD239" s="12" t="n">
        <x:f>IFERROR(R239/U239,0)</x:f>
        <x:v>0</x:v>
      </x:c>
      <x:c r="AE239" s="10" t="n">
        <x:f>IFERROR(U239/Q239,0)</x:f>
        <x:v>0</x:v>
      </x:c>
      <x:c r="AF239" s="10" t="n">
        <x:f>IF(Q239=0,M239,IF(U239=0,IF(Q239&gt;=10,MAX(0.02,M239*0.7),M239),IF(AD239=0,M239,MAX(0.02,IF(AD239&gt;Summary!$B$2,M239*Summary!$B$2/AD239,MIN(M239*1.2,M239*Summary!$B$2/AD239))))))</x:f>
        <x:v>3</x:v>
      </x:c>
      <x:c r="AG239" s="11" t="n">
        <x:f>IFERROR(AF239/M239-1,0)</x:f>
        <x:v>0</x:v>
      </x:c>
      <x:c r="AH239" t="str">
        <x:f>IF(Q239=0,"Need clicks",IF(AND(U239=0,Q239&gt;=10),"No sales: lower/pause",IF(AND(AD239&gt;Summary!$B$2,T239&gt;0),"Over target: reduce",IF(AND(AD239&lt;=Summary!$B$2,T239&gt;0),"At/under target: scale/hold",IF(AND(Q239&gt;0,T239=0),"Collect data","Review")))))</x:f>
        <x:v>Need clicks</x:v>
      </x:c>
      <x:c r="AI239" s="10" t="n">
        <x:f>IFERROR(IF(U239=0,R239,MAX(0,R239-(U239*Summary!$B$2))),0)</x:f>
        <x:v>0</x:v>
      </x:c>
      <x:c r="AJ239" t="str">
        <x:f>IF(AH239="No sales: lower/pause","Waste",IF(AH239="Over target: reduce","Inefficient",IF(AH239="At/under target: scale/hold","Efficient",IF(AND(O239&gt;=1000,Q239=0),"High imp/no click","Data gathering"))))</x:f>
        <x:v>Data gathering</x:v>
      </x:c>
    </x:row>
    <x:row r="240">
      <x:c r="A240" t="s">
        <x:v>22</x:v>
      </x:c>
      <x:c r="B240" t="s">
        <x:v>327</x:v>
      </x:c>
      <x:c r="C240" t="s">
        <x:v>22</x:v>
      </x:c>
      <x:c r="D240" t="s">
        <x:v>24</x:v>
      </x:c>
      <x:c r="E240" t="s">
        <x:v>63</x:v>
      </x:c>
      <x:c r="F240" t="s">
        <x:v>26</x:v>
      </x:c>
      <x:c r="G240" t="s">
        <x:v>27</x:v>
      </x:c>
      <x:c r="H240" t="s">
        <x:v>302</x:v>
      </x:c>
      <x:c r="I240">
        <x:v>14</x:v>
      </x:c>
      <x:c r="L240">
        <x:v>0</x:v>
      </x:c>
      <x:c r="M240">
        <x:v>3</x:v>
      </x:c>
      <x:c r="N240">
        <x:v>2</x:v>
      </x:c>
      <x:c r="O240">
        <x:v>204</x:v>
      </x:c>
      <x:c r="P240" s="1" t="s">
        <x:v>328</x:v>
      </x:c>
      <x:c r="Q240">
        <x:v>0</x:v>
      </x:c>
      <x:c r="R240" s="10">
        <x:v>0</x:v>
      </x:c>
      <x:c r="S240">
        <x:v>0</x:v>
      </x:c>
      <x:c r="T240">
        <x:v>0</x:v>
      </x:c>
      <x:c r="U240" s="10">
        <x:v>0</x:v>
      </x:c>
      <x:c r="W240" s="11" t="n">
        <x:f>Summary!$B$2</x:f>
        <x:v>0.15</x:v>
      </x:c>
      <x:c r="X240" s="11" t="n">
        <x:f>IFERROR(AD240-Summary!$B$2,"")</x:f>
        <x:v>-0.15</x:v>
      </x:c>
      <x:c r="Y240" s="10" t="str">
        <x:f>IFERROR((U240/Q240)*Summary!$B$2,"")</x:f>
      </x:c>
      <x:c r="Z240" s="12" t="n">
        <x:f>IFERROR(Q240/O240,0)</x:f>
        <x:v>0</x:v>
      </x:c>
      <x:c r="AA240" s="12" t="n">
        <x:f>IFERROR(T240/Q240,0)</x:f>
        <x:v>0</x:v>
      </x:c>
      <x:c r="AB240" s="10" t="n">
        <x:f>IFERROR(R240/Q240,0)</x:f>
        <x:v>0</x:v>
      </x:c>
      <x:c r="AC240" s="10" t="n">
        <x:f>IFERROR(U240/R240,0)</x:f>
        <x:v>0</x:v>
      </x:c>
      <x:c r="AD240" s="12" t="n">
        <x:f>IFERROR(R240/U240,0)</x:f>
        <x:v>0</x:v>
      </x:c>
      <x:c r="AE240" s="10" t="n">
        <x:f>IFERROR(U240/Q240,0)</x:f>
        <x:v>0</x:v>
      </x:c>
      <x:c r="AF240" s="10" t="n">
        <x:f>IF(Q240=0,M240,IF(U240=0,IF(Q240&gt;=10,MAX(0.02,M240*0.7),M240),IF(AD240=0,M240,MAX(0.02,IF(AD240&gt;Summary!$B$2,M240*Summary!$B$2/AD240,MIN(M240*1.2,M240*Summary!$B$2/AD240))))))</x:f>
        <x:v>3</x:v>
      </x:c>
      <x:c r="AG240" s="11" t="n">
        <x:f>IFERROR(AF240/M240-1,0)</x:f>
        <x:v>0</x:v>
      </x:c>
      <x:c r="AH240" t="str">
        <x:f>IF(Q240=0,"Need clicks",IF(AND(U240=0,Q240&gt;=10),"No sales: lower/pause",IF(AND(AD240&gt;Summary!$B$2,T240&gt;0),"Over target: reduce",IF(AND(AD240&lt;=Summary!$B$2,T240&gt;0),"At/under target: scale/hold",IF(AND(Q240&gt;0,T240=0),"Collect data","Review")))))</x:f>
        <x:v>Need clicks</x:v>
      </x:c>
      <x:c r="AI240" s="10" t="n">
        <x:f>IFERROR(IF(U240=0,R240,MAX(0,R240-(U240*Summary!$B$2))),0)</x:f>
        <x:v>0</x:v>
      </x:c>
      <x:c r="AJ240" t="str">
        <x:f>IF(AH240="No sales: lower/pause","Waste",IF(AH240="Over target: reduce","Inefficient",IF(AH240="At/under target: scale/hold","Efficient",IF(AND(O240&gt;=1000,Q240=0),"High imp/no click","Data gathering"))))</x:f>
        <x:v>Data gathering</x:v>
      </x:c>
    </x:row>
    <x:row r="241">
      <x:c r="A241" t="s">
        <x:v>22</x:v>
      </x:c>
      <x:c r="B241" t="s">
        <x:v>327</x:v>
      </x:c>
      <x:c r="C241" t="s">
        <x:v>22</x:v>
      </x:c>
      <x:c r="D241" t="s">
        <x:v>218</x:v>
      </x:c>
      <x:c r="E241" t="s">
        <x:v>63</x:v>
      </x:c>
      <x:c r="F241" t="s">
        <x:v>26</x:v>
      </x:c>
      <x:c r="G241" t="s">
        <x:v>27</x:v>
      </x:c>
      <x:c r="H241" t="s">
        <x:v>302</x:v>
      </x:c>
      <x:c r="I241">
        <x:v>14</x:v>
      </x:c>
      <x:c r="L241">
        <x:v>0</x:v>
      </x:c>
      <x:c r="M241">
        <x:v>3</x:v>
      </x:c>
      <x:c r="N241">
        <x:v>3.81</x:v>
      </x:c>
      <x:c r="O241">
        <x:v>5</x:v>
      </x:c>
      <x:c r="P241" s="1" t="s">
        <x:v>329</x:v>
      </x:c>
      <x:c r="Q241">
        <x:v>0</x:v>
      </x:c>
      <x:c r="R241" s="10">
        <x:v>0</x:v>
      </x:c>
      <x:c r="S241">
        <x:v>0</x:v>
      </x:c>
      <x:c r="T241">
        <x:v>0</x:v>
      </x:c>
      <x:c r="U241" s="10">
        <x:v>0</x:v>
      </x:c>
      <x:c r="W241" s="11" t="n">
        <x:f>Summary!$B$2</x:f>
        <x:v>0.15</x:v>
      </x:c>
      <x:c r="X241" s="11" t="n">
        <x:f>IFERROR(AD241-Summary!$B$2,"")</x:f>
        <x:v>-0.15</x:v>
      </x:c>
      <x:c r="Y241" s="10" t="str">
        <x:f>IFERROR((U241/Q241)*Summary!$B$2,"")</x:f>
      </x:c>
      <x:c r="Z241" s="12" t="n">
        <x:f>IFERROR(Q241/O241,0)</x:f>
        <x:v>0</x:v>
      </x:c>
      <x:c r="AA241" s="12" t="n">
        <x:f>IFERROR(T241/Q241,0)</x:f>
        <x:v>0</x:v>
      </x:c>
      <x:c r="AB241" s="10" t="n">
        <x:f>IFERROR(R241/Q241,0)</x:f>
        <x:v>0</x:v>
      </x:c>
      <x:c r="AC241" s="10" t="n">
        <x:f>IFERROR(U241/R241,0)</x:f>
        <x:v>0</x:v>
      </x:c>
      <x:c r="AD241" s="12" t="n">
        <x:f>IFERROR(R241/U241,0)</x:f>
        <x:v>0</x:v>
      </x:c>
      <x:c r="AE241" s="10" t="n">
        <x:f>IFERROR(U241/Q241,0)</x:f>
        <x:v>0</x:v>
      </x:c>
      <x:c r="AF241" s="10" t="n">
        <x:f>IF(Q241=0,M241,IF(U241=0,IF(Q241&gt;=10,MAX(0.02,M241*0.7),M241),IF(AD241=0,M241,MAX(0.02,IF(AD241&gt;Summary!$B$2,M241*Summary!$B$2/AD241,MIN(M241*1.2,M241*Summary!$B$2/AD241))))))</x:f>
        <x:v>3</x:v>
      </x:c>
      <x:c r="AG241" s="11" t="n">
        <x:f>IFERROR(AF241/M241-1,0)</x:f>
        <x:v>0</x:v>
      </x:c>
      <x:c r="AH241" t="str">
        <x:f>IF(Q241=0,"Need clicks",IF(AND(U241=0,Q241&gt;=10),"No sales: lower/pause",IF(AND(AD241&gt;Summary!$B$2,T241&gt;0),"Over target: reduce",IF(AND(AD241&lt;=Summary!$B$2,T241&gt;0),"At/under target: scale/hold",IF(AND(Q241&gt;0,T241=0),"Collect data","Review")))))</x:f>
        <x:v>Need clicks</x:v>
      </x:c>
      <x:c r="AI241" s="10" t="n">
        <x:f>IFERROR(IF(U241=0,R241,MAX(0,R241-(U241*Summary!$B$2))),0)</x:f>
        <x:v>0</x:v>
      </x:c>
      <x:c r="AJ241" t="str">
        <x:f>IF(AH241="No sales: lower/pause","Waste",IF(AH241="Over target: reduce","Inefficient",IF(AH241="At/under target: scale/hold","Efficient",IF(AND(O241&gt;=1000,Q241=0),"High imp/no click","Data gathering"))))</x:f>
        <x:v>Data gathering</x:v>
      </x:c>
    </x:row>
    <x:row r="242">
      <x:c r="A242" t="s">
        <x:v>22</x:v>
      </x:c>
      <x:c r="B242" t="s">
        <x:v>330</x:v>
      </x:c>
      <x:c r="C242" t="s">
        <x:v>22</x:v>
      </x:c>
      <x:c r="D242" t="s">
        <x:v>24</x:v>
      </x:c>
      <x:c r="E242" t="s">
        <x:v>63</x:v>
      </x:c>
      <x:c r="F242" t="s">
        <x:v>26</x:v>
      </x:c>
      <x:c r="G242" t="s">
        <x:v>27</x:v>
      </x:c>
      <x:c r="H242" t="s">
        <x:v>302</x:v>
      </x:c>
      <x:c r="I242">
        <x:v>14</x:v>
      </x:c>
      <x:c r="L242">
        <x:v>0</x:v>
      </x:c>
      <x:c r="M242">
        <x:v>3</x:v>
      </x:c>
      <x:c r="N242">
        <x:v>3.8</x:v>
      </x:c>
      <x:c r="O242">
        <x:v>170</x:v>
      </x:c>
      <x:c r="P242">
        <x:v>0</x:v>
      </x:c>
      <x:c r="Q242">
        <x:v>0</x:v>
      </x:c>
      <x:c r="R242" s="10">
        <x:v>0</x:v>
      </x:c>
      <x:c r="S242">
        <x:v>0</x:v>
      </x:c>
      <x:c r="T242">
        <x:v>0</x:v>
      </x:c>
      <x:c r="U242" s="10">
        <x:v>0</x:v>
      </x:c>
      <x:c r="W242" s="11" t="n">
        <x:f>Summary!$B$2</x:f>
        <x:v>0.15</x:v>
      </x:c>
      <x:c r="X242" s="11" t="n">
        <x:f>IFERROR(AD242-Summary!$B$2,"")</x:f>
        <x:v>-0.15</x:v>
      </x:c>
      <x:c r="Y242" s="10" t="str">
        <x:f>IFERROR((U242/Q242)*Summary!$B$2,"")</x:f>
      </x:c>
      <x:c r="Z242" s="12" t="n">
        <x:f>IFERROR(Q242/O242,0)</x:f>
        <x:v>0</x:v>
      </x:c>
      <x:c r="AA242" s="12" t="n">
        <x:f>IFERROR(T242/Q242,0)</x:f>
        <x:v>0</x:v>
      </x:c>
      <x:c r="AB242" s="10" t="n">
        <x:f>IFERROR(R242/Q242,0)</x:f>
        <x:v>0</x:v>
      </x:c>
      <x:c r="AC242" s="10" t="n">
        <x:f>IFERROR(U242/R242,0)</x:f>
        <x:v>0</x:v>
      </x:c>
      <x:c r="AD242" s="12" t="n">
        <x:f>IFERROR(R242/U242,0)</x:f>
        <x:v>0</x:v>
      </x:c>
      <x:c r="AE242" s="10" t="n">
        <x:f>IFERROR(U242/Q242,0)</x:f>
        <x:v>0</x:v>
      </x:c>
      <x:c r="AF242" s="10" t="n">
        <x:f>IF(Q242=0,M242,IF(U242=0,IF(Q242&gt;=10,MAX(0.02,M242*0.7),M242),IF(AD242=0,M242,MAX(0.02,IF(AD242&gt;Summary!$B$2,M242*Summary!$B$2/AD242,MIN(M242*1.2,M242*Summary!$B$2/AD242))))))</x:f>
        <x:v>3</x:v>
      </x:c>
      <x:c r="AG242" s="11" t="n">
        <x:f>IFERROR(AF242/M242-1,0)</x:f>
        <x:v>0</x:v>
      </x:c>
      <x:c r="AH242" t="str">
        <x:f>IF(Q242=0,"Need clicks",IF(AND(U242=0,Q242&gt;=10),"No sales: lower/pause",IF(AND(AD242&gt;Summary!$B$2,T242&gt;0),"Over target: reduce",IF(AND(AD242&lt;=Summary!$B$2,T242&gt;0),"At/under target: scale/hold",IF(AND(Q242&gt;0,T242=0),"Collect data","Review")))))</x:f>
        <x:v>Need clicks</x:v>
      </x:c>
      <x:c r="AI242" s="10" t="n">
        <x:f>IFERROR(IF(U242=0,R242,MAX(0,R242-(U242*Summary!$B$2))),0)</x:f>
        <x:v>0</x:v>
      </x:c>
      <x:c r="AJ242" t="str">
        <x:f>IF(AH242="No sales: lower/pause","Waste",IF(AH242="Over target: reduce","Inefficient",IF(AH242="At/under target: scale/hold","Efficient",IF(AND(O242&gt;=1000,Q242=0),"High imp/no click","Data gathering"))))</x:f>
        <x:v>Data gathering</x:v>
      </x:c>
    </x:row>
    <x:row r="243">
      <x:c r="A243" t="s">
        <x:v>22</x:v>
      </x:c>
      <x:c r="B243" t="s">
        <x:v>330</x:v>
      </x:c>
      <x:c r="C243" t="s">
        <x:v>22</x:v>
      </x:c>
      <x:c r="D243" t="s">
        <x:v>218</x:v>
      </x:c>
      <x:c r="E243" t="s">
        <x:v>63</x:v>
      </x:c>
      <x:c r="F243" t="s">
        <x:v>26</x:v>
      </x:c>
      <x:c r="G243" t="s">
        <x:v>27</x:v>
      </x:c>
      <x:c r="H243" t="s">
        <x:v>302</x:v>
      </x:c>
      <x:c r="I243">
        <x:v>14</x:v>
      </x:c>
      <x:c r="L243">
        <x:v>0</x:v>
      </x:c>
      <x:c r="M243">
        <x:v>3</x:v>
      </x:c>
      <x:c r="N243">
        <x:v>4.09</x:v>
      </x:c>
      <x:c r="O243">
        <x:v>4</x:v>
      </x:c>
      <x:c r="P243">
        <x:v>0</x:v>
      </x:c>
      <x:c r="Q243">
        <x:v>0</x:v>
      </x:c>
      <x:c r="R243" s="10">
        <x:v>0</x:v>
      </x:c>
      <x:c r="S243">
        <x:v>0</x:v>
      </x:c>
      <x:c r="T243">
        <x:v>0</x:v>
      </x:c>
      <x:c r="U243" s="10">
        <x:v>0</x:v>
      </x:c>
      <x:c r="W243" s="11" t="n">
        <x:f>Summary!$B$2</x:f>
        <x:v>0.15</x:v>
      </x:c>
      <x:c r="X243" s="11" t="n">
        <x:f>IFERROR(AD243-Summary!$B$2,"")</x:f>
        <x:v>-0.15</x:v>
      </x:c>
      <x:c r="Y243" s="10" t="str">
        <x:f>IFERROR((U243/Q243)*Summary!$B$2,"")</x:f>
      </x:c>
      <x:c r="Z243" s="12" t="n">
        <x:f>IFERROR(Q243/O243,0)</x:f>
        <x:v>0</x:v>
      </x:c>
      <x:c r="AA243" s="12" t="n">
        <x:f>IFERROR(T243/Q243,0)</x:f>
        <x:v>0</x:v>
      </x:c>
      <x:c r="AB243" s="10" t="n">
        <x:f>IFERROR(R243/Q243,0)</x:f>
        <x:v>0</x:v>
      </x:c>
      <x:c r="AC243" s="10" t="n">
        <x:f>IFERROR(U243/R243,0)</x:f>
        <x:v>0</x:v>
      </x:c>
      <x:c r="AD243" s="12" t="n">
        <x:f>IFERROR(R243/U243,0)</x:f>
        <x:v>0</x:v>
      </x:c>
      <x:c r="AE243" s="10" t="n">
        <x:f>IFERROR(U243/Q243,0)</x:f>
        <x:v>0</x:v>
      </x:c>
      <x:c r="AF243" s="10" t="n">
        <x:f>IF(Q243=0,M243,IF(U243=0,IF(Q243&gt;=10,MAX(0.02,M243*0.7),M243),IF(AD243=0,M243,MAX(0.02,IF(AD243&gt;Summary!$B$2,M243*Summary!$B$2/AD243,MIN(M243*1.2,M243*Summary!$B$2/AD243))))))</x:f>
        <x:v>3</x:v>
      </x:c>
      <x:c r="AG243" s="11" t="n">
        <x:f>IFERROR(AF243/M243-1,0)</x:f>
        <x:v>0</x:v>
      </x:c>
      <x:c r="AH243" t="str">
        <x:f>IF(Q243=0,"Need clicks",IF(AND(U243=0,Q243&gt;=10),"No sales: lower/pause",IF(AND(AD243&gt;Summary!$B$2,T243&gt;0),"Over target: reduce",IF(AND(AD243&lt;=Summary!$B$2,T243&gt;0),"At/under target: scale/hold",IF(AND(Q243&gt;0,T243=0),"Collect data","Review")))))</x:f>
        <x:v>Need clicks</x:v>
      </x:c>
      <x:c r="AI243" s="10" t="n">
        <x:f>IFERROR(IF(U243=0,R243,MAX(0,R243-(U243*Summary!$B$2))),0)</x:f>
        <x:v>0</x:v>
      </x:c>
      <x:c r="AJ243" t="str">
        <x:f>IF(AH243="No sales: lower/pause","Waste",IF(AH243="Over target: reduce","Inefficient",IF(AH243="At/under target: scale/hold","Efficient",IF(AND(O243&gt;=1000,Q243=0),"High imp/no click","Data gathering"))))</x:f>
        <x:v>Data gathering</x:v>
      </x:c>
    </x:row>
    <x:row r="244">
      <x:c r="A244" t="s">
        <x:v>22</x:v>
      </x:c>
      <x:c r="B244" t="s">
        <x:v>331</x:v>
      </x:c>
      <x:c r="C244" t="s">
        <x:v>22</x:v>
      </x:c>
      <x:c r="D244" t="s">
        <x:v>24</x:v>
      </x:c>
      <x:c r="E244" t="s">
        <x:v>63</x:v>
      </x:c>
      <x:c r="F244" t="s">
        <x:v>26</x:v>
      </x:c>
      <x:c r="G244" t="s">
        <x:v>27</x:v>
      </x:c>
      <x:c r="H244" t="s">
        <x:v>302</x:v>
      </x:c>
      <x:c r="I244">
        <x:v>14</x:v>
      </x:c>
      <x:c r="L244">
        <x:v>0</x:v>
      </x:c>
      <x:c r="M244">
        <x:v>3</x:v>
      </x:c>
      <x:c r="N244">
        <x:v>4.0199999999999996</x:v>
      </x:c>
      <x:c r="O244">
        <x:v>42</x:v>
      </x:c>
      <x:c r="P244">
        <x:v>0</x:v>
      </x:c>
      <x:c r="Q244">
        <x:v>0</x:v>
      </x:c>
      <x:c r="R244" s="10">
        <x:v>0</x:v>
      </x:c>
      <x:c r="S244">
        <x:v>0</x:v>
      </x:c>
      <x:c r="T244">
        <x:v>0</x:v>
      </x:c>
      <x:c r="U244" s="10">
        <x:v>0</x:v>
      </x:c>
      <x:c r="W244" s="11" t="n">
        <x:f>Summary!$B$2</x:f>
        <x:v>0.15</x:v>
      </x:c>
      <x:c r="X244" s="11" t="n">
        <x:f>IFERROR(AD244-Summary!$B$2,"")</x:f>
        <x:v>-0.15</x:v>
      </x:c>
      <x:c r="Y244" s="10" t="str">
        <x:f>IFERROR((U244/Q244)*Summary!$B$2,"")</x:f>
      </x:c>
      <x:c r="Z244" s="12" t="n">
        <x:f>IFERROR(Q244/O244,0)</x:f>
        <x:v>0</x:v>
      </x:c>
      <x:c r="AA244" s="12" t="n">
        <x:f>IFERROR(T244/Q244,0)</x:f>
        <x:v>0</x:v>
      </x:c>
      <x:c r="AB244" s="10" t="n">
        <x:f>IFERROR(R244/Q244,0)</x:f>
        <x:v>0</x:v>
      </x:c>
      <x:c r="AC244" s="10" t="n">
        <x:f>IFERROR(U244/R244,0)</x:f>
        <x:v>0</x:v>
      </x:c>
      <x:c r="AD244" s="12" t="n">
        <x:f>IFERROR(R244/U244,0)</x:f>
        <x:v>0</x:v>
      </x:c>
      <x:c r="AE244" s="10" t="n">
        <x:f>IFERROR(U244/Q244,0)</x:f>
        <x:v>0</x:v>
      </x:c>
      <x:c r="AF244" s="10" t="n">
        <x:f>IF(Q244=0,M244,IF(U244=0,IF(Q244&gt;=10,MAX(0.02,M244*0.7),M244),IF(AD244=0,M244,MAX(0.02,IF(AD244&gt;Summary!$B$2,M244*Summary!$B$2/AD244,MIN(M244*1.2,M244*Summary!$B$2/AD244))))))</x:f>
        <x:v>3</x:v>
      </x:c>
      <x:c r="AG244" s="11" t="n">
        <x:f>IFERROR(AF244/M244-1,0)</x:f>
        <x:v>0</x:v>
      </x:c>
      <x:c r="AH244" t="str">
        <x:f>IF(Q244=0,"Need clicks",IF(AND(U244=0,Q244&gt;=10),"No sales: lower/pause",IF(AND(AD244&gt;Summary!$B$2,T244&gt;0),"Over target: reduce",IF(AND(AD244&lt;=Summary!$B$2,T244&gt;0),"At/under target: scale/hold",IF(AND(Q244&gt;0,T244=0),"Collect data","Review")))))</x:f>
        <x:v>Need clicks</x:v>
      </x:c>
      <x:c r="AI244" s="10" t="n">
        <x:f>IFERROR(IF(U244=0,R244,MAX(0,R244-(U244*Summary!$B$2))),0)</x:f>
        <x:v>0</x:v>
      </x:c>
      <x:c r="AJ244" t="str">
        <x:f>IF(AH244="No sales: lower/pause","Waste",IF(AH244="Over target: reduce","Inefficient",IF(AH244="At/under target: scale/hold","Efficient",IF(AND(O244&gt;=1000,Q244=0),"High imp/no click","Data gathering"))))</x:f>
        <x:v>Data gathering</x:v>
      </x:c>
    </x:row>
    <x:row r="245">
      <x:c r="A245" t="s">
        <x:v>22</x:v>
      </x:c>
      <x:c r="B245" t="s">
        <x:v>332</x:v>
      </x:c>
      <x:c r="C245" t="s">
        <x:v>22</x:v>
      </x:c>
      <x:c r="D245" t="s">
        <x:v>24</x:v>
      </x:c>
      <x:c r="E245" t="s">
        <x:v>63</x:v>
      </x:c>
      <x:c r="F245" t="s">
        <x:v>26</x:v>
      </x:c>
      <x:c r="G245" t="s">
        <x:v>27</x:v>
      </x:c>
      <x:c r="H245" t="s">
        <x:v>302</x:v>
      </x:c>
      <x:c r="I245">
        <x:v>14</x:v>
      </x:c>
      <x:c r="L245">
        <x:v>0</x:v>
      </x:c>
      <x:c r="M245">
        <x:v>3</x:v>
      </x:c>
      <x:c r="N245">
        <x:v>4.8499999999999996</x:v>
      </x:c>
      <x:c r="O245">
        <x:v>482</x:v>
      </x:c>
      <x:c r="P245" s="1" t="s">
        <x:v>333</x:v>
      </x:c>
      <x:c r="Q245">
        <x:v>0</x:v>
      </x:c>
      <x:c r="R245" s="10">
        <x:v>0</x:v>
      </x:c>
      <x:c r="S245">
        <x:v>0</x:v>
      </x:c>
      <x:c r="T245">
        <x:v>0</x:v>
      </x:c>
      <x:c r="U245" s="10">
        <x:v>0</x:v>
      </x:c>
      <x:c r="W245" s="11" t="n">
        <x:f>Summary!$B$2</x:f>
        <x:v>0.15</x:v>
      </x:c>
      <x:c r="X245" s="11" t="n">
        <x:f>IFERROR(AD245-Summary!$B$2,"")</x:f>
        <x:v>-0.15</x:v>
      </x:c>
      <x:c r="Y245" s="10" t="str">
        <x:f>IFERROR((U245/Q245)*Summary!$B$2,"")</x:f>
      </x:c>
      <x:c r="Z245" s="12" t="n">
        <x:f>IFERROR(Q245/O245,0)</x:f>
        <x:v>0</x:v>
      </x:c>
      <x:c r="AA245" s="12" t="n">
        <x:f>IFERROR(T245/Q245,0)</x:f>
        <x:v>0</x:v>
      </x:c>
      <x:c r="AB245" s="10" t="n">
        <x:f>IFERROR(R245/Q245,0)</x:f>
        <x:v>0</x:v>
      </x:c>
      <x:c r="AC245" s="10" t="n">
        <x:f>IFERROR(U245/R245,0)</x:f>
        <x:v>0</x:v>
      </x:c>
      <x:c r="AD245" s="12" t="n">
        <x:f>IFERROR(R245/U245,0)</x:f>
        <x:v>0</x:v>
      </x:c>
      <x:c r="AE245" s="10" t="n">
        <x:f>IFERROR(U245/Q245,0)</x:f>
        <x:v>0</x:v>
      </x:c>
      <x:c r="AF245" s="10" t="n">
        <x:f>IF(Q245=0,M245,IF(U245=0,IF(Q245&gt;=10,MAX(0.02,M245*0.7),M245),IF(AD245=0,M245,MAX(0.02,IF(AD245&gt;Summary!$B$2,M245*Summary!$B$2/AD245,MIN(M245*1.2,M245*Summary!$B$2/AD245))))))</x:f>
        <x:v>3</x:v>
      </x:c>
      <x:c r="AG245" s="11" t="n">
        <x:f>IFERROR(AF245/M245-1,0)</x:f>
        <x:v>0</x:v>
      </x:c>
      <x:c r="AH245" t="str">
        <x:f>IF(Q245=0,"Need clicks",IF(AND(U245=0,Q245&gt;=10),"No sales: lower/pause",IF(AND(AD245&gt;Summary!$B$2,T245&gt;0),"Over target: reduce",IF(AND(AD245&lt;=Summary!$B$2,T245&gt;0),"At/under target: scale/hold",IF(AND(Q245&gt;0,T245=0),"Collect data","Review")))))</x:f>
        <x:v>Need clicks</x:v>
      </x:c>
      <x:c r="AI245" s="10" t="n">
        <x:f>IFERROR(IF(U245=0,R245,MAX(0,R245-(U245*Summary!$B$2))),0)</x:f>
        <x:v>0</x:v>
      </x:c>
      <x:c r="AJ245" t="str">
        <x:f>IF(AH245="No sales: lower/pause","Waste",IF(AH245="Over target: reduce","Inefficient",IF(AH245="At/under target: scale/hold","Efficient",IF(AND(O245&gt;=1000,Q245=0),"High imp/no click","Data gathering"))))</x:f>
        <x:v>Data gathering</x:v>
      </x:c>
    </x:row>
    <x:row r="246">
      <x:c r="A246" t="s">
        <x:v>22</x:v>
      </x:c>
      <x:c r="B246" t="s">
        <x:v>332</x:v>
      </x:c>
      <x:c r="C246" t="s">
        <x:v>22</x:v>
      </x:c>
      <x:c r="D246" t="s">
        <x:v>218</x:v>
      </x:c>
      <x:c r="E246" t="s">
        <x:v>63</x:v>
      </x:c>
      <x:c r="F246" t="s">
        <x:v>26</x:v>
      </x:c>
      <x:c r="G246" t="s">
        <x:v>27</x:v>
      </x:c>
      <x:c r="H246" t="s">
        <x:v>302</x:v>
      </x:c>
      <x:c r="I246">
        <x:v>14</x:v>
      </x:c>
      <x:c r="L246">
        <x:v>0</x:v>
      </x:c>
      <x:c r="M246">
        <x:v>3</x:v>
      </x:c>
      <x:c r="N246">
        <x:v>3.2</x:v>
      </x:c>
      <x:c r="O246">
        <x:v>3</x:v>
      </x:c>
      <x:c r="P246">
        <x:v>0</x:v>
      </x:c>
      <x:c r="Q246">
        <x:v>0</x:v>
      </x:c>
      <x:c r="R246" s="10">
        <x:v>0</x:v>
      </x:c>
      <x:c r="S246">
        <x:v>0</x:v>
      </x:c>
      <x:c r="T246">
        <x:v>0</x:v>
      </x:c>
      <x:c r="U246" s="10">
        <x:v>0</x:v>
      </x:c>
      <x:c r="W246" s="11" t="n">
        <x:f>Summary!$B$2</x:f>
        <x:v>0.15</x:v>
      </x:c>
      <x:c r="X246" s="11" t="n">
        <x:f>IFERROR(AD246-Summary!$B$2,"")</x:f>
        <x:v>-0.15</x:v>
      </x:c>
      <x:c r="Y246" s="10" t="str">
        <x:f>IFERROR((U246/Q246)*Summary!$B$2,"")</x:f>
      </x:c>
      <x:c r="Z246" s="12" t="n">
        <x:f>IFERROR(Q246/O246,0)</x:f>
        <x:v>0</x:v>
      </x:c>
      <x:c r="AA246" s="12" t="n">
        <x:f>IFERROR(T246/Q246,0)</x:f>
        <x:v>0</x:v>
      </x:c>
      <x:c r="AB246" s="10" t="n">
        <x:f>IFERROR(R246/Q246,0)</x:f>
        <x:v>0</x:v>
      </x:c>
      <x:c r="AC246" s="10" t="n">
        <x:f>IFERROR(U246/R246,0)</x:f>
        <x:v>0</x:v>
      </x:c>
      <x:c r="AD246" s="12" t="n">
        <x:f>IFERROR(R246/U246,0)</x:f>
        <x:v>0</x:v>
      </x:c>
      <x:c r="AE246" s="10" t="n">
        <x:f>IFERROR(U246/Q246,0)</x:f>
        <x:v>0</x:v>
      </x:c>
      <x:c r="AF246" s="10" t="n">
        <x:f>IF(Q246=0,M246,IF(U246=0,IF(Q246&gt;=10,MAX(0.02,M246*0.7),M246),IF(AD246=0,M246,MAX(0.02,IF(AD246&gt;Summary!$B$2,M246*Summary!$B$2/AD246,MIN(M246*1.2,M246*Summary!$B$2/AD246))))))</x:f>
        <x:v>3</x:v>
      </x:c>
      <x:c r="AG246" s="11" t="n">
        <x:f>IFERROR(AF246/M246-1,0)</x:f>
        <x:v>0</x:v>
      </x:c>
      <x:c r="AH246" t="str">
        <x:f>IF(Q246=0,"Need clicks",IF(AND(U246=0,Q246&gt;=10),"No sales: lower/pause",IF(AND(AD246&gt;Summary!$B$2,T246&gt;0),"Over target: reduce",IF(AND(AD246&lt;=Summary!$B$2,T246&gt;0),"At/under target: scale/hold",IF(AND(Q246&gt;0,T246=0),"Collect data","Review")))))</x:f>
        <x:v>Need clicks</x:v>
      </x:c>
      <x:c r="AI246" s="10" t="n">
        <x:f>IFERROR(IF(U246=0,R246,MAX(0,R246-(U246*Summary!$B$2))),0)</x:f>
        <x:v>0</x:v>
      </x:c>
      <x:c r="AJ246" t="str">
        <x:f>IF(AH246="No sales: lower/pause","Waste",IF(AH246="Over target: reduce","Inefficient",IF(AH246="At/under target: scale/hold","Efficient",IF(AND(O246&gt;=1000,Q246=0),"High imp/no click","Data gathering"))))</x:f>
        <x:v>Data gathering</x:v>
      </x:c>
    </x:row>
    <x:row r="247">
      <x:c r="A247" t="s">
        <x:v>22</x:v>
      </x:c>
      <x:c r="B247" t="s">
        <x:v>334</x:v>
      </x:c>
      <x:c r="C247" t="s">
        <x:v>22</x:v>
      </x:c>
      <x:c r="D247" t="s">
        <x:v>218</x:v>
      </x:c>
      <x:c r="E247" t="s">
        <x:v>63</x:v>
      </x:c>
      <x:c r="F247" t="s">
        <x:v>26</x:v>
      </x:c>
      <x:c r="G247" t="s">
        <x:v>27</x:v>
      </x:c>
      <x:c r="H247" t="s">
        <x:v>302</x:v>
      </x:c>
      <x:c r="I247">
        <x:v>14</x:v>
      </x:c>
      <x:c r="L247">
        <x:v>0</x:v>
      </x:c>
      <x:c r="M247">
        <x:v>3</x:v>
      </x:c>
      <x:c r="N247">
        <x:v>3.28</x:v>
      </x:c>
      <x:c r="O247">
        <x:v>70</x:v>
      </x:c>
      <x:c r="P247">
        <x:v>0</x:v>
      </x:c>
      <x:c r="Q247">
        <x:v>0</x:v>
      </x:c>
      <x:c r="R247" s="10">
        <x:v>0</x:v>
      </x:c>
      <x:c r="S247">
        <x:v>0</x:v>
      </x:c>
      <x:c r="T247">
        <x:v>0</x:v>
      </x:c>
      <x:c r="U247" s="10">
        <x:v>0</x:v>
      </x:c>
      <x:c r="W247" s="11" t="n">
        <x:f>Summary!$B$2</x:f>
        <x:v>0.15</x:v>
      </x:c>
      <x:c r="X247" s="11" t="n">
        <x:f>IFERROR(AD247-Summary!$B$2,"")</x:f>
        <x:v>-0.15</x:v>
      </x:c>
      <x:c r="Y247" s="10" t="str">
        <x:f>IFERROR((U247/Q247)*Summary!$B$2,"")</x:f>
      </x:c>
      <x:c r="Z247" s="12" t="n">
        <x:f>IFERROR(Q247/O247,0)</x:f>
        <x:v>0</x:v>
      </x:c>
      <x:c r="AA247" s="12" t="n">
        <x:f>IFERROR(T247/Q247,0)</x:f>
        <x:v>0</x:v>
      </x:c>
      <x:c r="AB247" s="10" t="n">
        <x:f>IFERROR(R247/Q247,0)</x:f>
        <x:v>0</x:v>
      </x:c>
      <x:c r="AC247" s="10" t="n">
        <x:f>IFERROR(U247/R247,0)</x:f>
        <x:v>0</x:v>
      </x:c>
      <x:c r="AD247" s="12" t="n">
        <x:f>IFERROR(R247/U247,0)</x:f>
        <x:v>0</x:v>
      </x:c>
      <x:c r="AE247" s="10" t="n">
        <x:f>IFERROR(U247/Q247,0)</x:f>
        <x:v>0</x:v>
      </x:c>
      <x:c r="AF247" s="10" t="n">
        <x:f>IF(Q247=0,M247,IF(U247=0,IF(Q247&gt;=10,MAX(0.02,M247*0.7),M247),IF(AD247=0,M247,MAX(0.02,IF(AD247&gt;Summary!$B$2,M247*Summary!$B$2/AD247,MIN(M247*1.2,M247*Summary!$B$2/AD247))))))</x:f>
        <x:v>3</x:v>
      </x:c>
      <x:c r="AG247" s="11" t="n">
        <x:f>IFERROR(AF247/M247-1,0)</x:f>
        <x:v>0</x:v>
      </x:c>
      <x:c r="AH247" t="str">
        <x:f>IF(Q247=0,"Need clicks",IF(AND(U247=0,Q247&gt;=10),"No sales: lower/pause",IF(AND(AD247&gt;Summary!$B$2,T247&gt;0),"Over target: reduce",IF(AND(AD247&lt;=Summary!$B$2,T247&gt;0),"At/under target: scale/hold",IF(AND(Q247&gt;0,T247=0),"Collect data","Review")))))</x:f>
        <x:v>Need clicks</x:v>
      </x:c>
      <x:c r="AI247" s="10" t="n">
        <x:f>IFERROR(IF(U247=0,R247,MAX(0,R247-(U247*Summary!$B$2))),0)</x:f>
        <x:v>0</x:v>
      </x:c>
      <x:c r="AJ247" t="str">
        <x:f>IF(AH247="No sales: lower/pause","Waste",IF(AH247="Over target: reduce","Inefficient",IF(AH247="At/under target: scale/hold","Efficient",IF(AND(O247&gt;=1000,Q247=0),"High imp/no click","Data gathering"))))</x:f>
        <x:v>Data gathering</x:v>
      </x:c>
    </x:row>
    <x:row r="248">
      <x:c r="A248" t="s">
        <x:v>22</x:v>
      </x:c>
      <x:c r="B248" t="s">
        <x:v>335</x:v>
      </x:c>
      <x:c r="C248" t="s">
        <x:v>22</x:v>
      </x:c>
      <x:c r="D248" t="s">
        <x:v>24</x:v>
      </x:c>
      <x:c r="E248" t="s">
        <x:v>63</x:v>
      </x:c>
      <x:c r="F248" t="s">
        <x:v>26</x:v>
      </x:c>
      <x:c r="G248" t="s">
        <x:v>27</x:v>
      </x:c>
      <x:c r="H248" t="s">
        <x:v>302</x:v>
      </x:c>
      <x:c r="I248">
        <x:v>14</x:v>
      </x:c>
      <x:c r="L248">
        <x:v>0</x:v>
      </x:c>
      <x:c r="M248">
        <x:v>3</x:v>
      </x:c>
      <x:c r="N248">
        <x:v>2.58</x:v>
      </x:c>
      <x:c r="O248">
        <x:v>167</x:v>
      </x:c>
      <x:c r="P248" s="1" t="s">
        <x:v>336</x:v>
      </x:c>
      <x:c r="Q248">
        <x:v>0</x:v>
      </x:c>
      <x:c r="R248" s="10">
        <x:v>0</x:v>
      </x:c>
      <x:c r="S248">
        <x:v>0</x:v>
      </x:c>
      <x:c r="T248">
        <x:v>0</x:v>
      </x:c>
      <x:c r="U248" s="10">
        <x:v>0</x:v>
      </x:c>
      <x:c r="W248" s="11" t="n">
        <x:f>Summary!$B$2</x:f>
        <x:v>0.15</x:v>
      </x:c>
      <x:c r="X248" s="11" t="n">
        <x:f>IFERROR(AD248-Summary!$B$2,"")</x:f>
        <x:v>-0.15</x:v>
      </x:c>
      <x:c r="Y248" s="10" t="str">
        <x:f>IFERROR((U248/Q248)*Summary!$B$2,"")</x:f>
      </x:c>
      <x:c r="Z248" s="12" t="n">
        <x:f>IFERROR(Q248/O248,0)</x:f>
        <x:v>0</x:v>
      </x:c>
      <x:c r="AA248" s="12" t="n">
        <x:f>IFERROR(T248/Q248,0)</x:f>
        <x:v>0</x:v>
      </x:c>
      <x:c r="AB248" s="10" t="n">
        <x:f>IFERROR(R248/Q248,0)</x:f>
        <x:v>0</x:v>
      </x:c>
      <x:c r="AC248" s="10" t="n">
        <x:f>IFERROR(U248/R248,0)</x:f>
        <x:v>0</x:v>
      </x:c>
      <x:c r="AD248" s="12" t="n">
        <x:f>IFERROR(R248/U248,0)</x:f>
        <x:v>0</x:v>
      </x:c>
      <x:c r="AE248" s="10" t="n">
        <x:f>IFERROR(U248/Q248,0)</x:f>
        <x:v>0</x:v>
      </x:c>
      <x:c r="AF248" s="10" t="n">
        <x:f>IF(Q248=0,M248,IF(U248=0,IF(Q248&gt;=10,MAX(0.02,M248*0.7),M248),IF(AD248=0,M248,MAX(0.02,IF(AD248&gt;Summary!$B$2,M248*Summary!$B$2/AD248,MIN(M248*1.2,M248*Summary!$B$2/AD248))))))</x:f>
        <x:v>3</x:v>
      </x:c>
      <x:c r="AG248" s="11" t="n">
        <x:f>IFERROR(AF248/M248-1,0)</x:f>
        <x:v>0</x:v>
      </x:c>
      <x:c r="AH248" t="str">
        <x:f>IF(Q248=0,"Need clicks",IF(AND(U248=0,Q248&gt;=10),"No sales: lower/pause",IF(AND(AD248&gt;Summary!$B$2,T248&gt;0),"Over target: reduce",IF(AND(AD248&lt;=Summary!$B$2,T248&gt;0),"At/under target: scale/hold",IF(AND(Q248&gt;0,T248=0),"Collect data","Review")))))</x:f>
        <x:v>Need clicks</x:v>
      </x:c>
      <x:c r="AI248" s="10" t="n">
        <x:f>IFERROR(IF(U248=0,R248,MAX(0,R248-(U248*Summary!$B$2))),0)</x:f>
        <x:v>0</x:v>
      </x:c>
      <x:c r="AJ248" t="str">
        <x:f>IF(AH248="No sales: lower/pause","Waste",IF(AH248="Over target: reduce","Inefficient",IF(AH248="At/under target: scale/hold","Efficient",IF(AND(O248&gt;=1000,Q248=0),"High imp/no click","Data gathering"))))</x:f>
        <x:v>Data gathering</x:v>
      </x:c>
    </x:row>
    <x:row r="249">
      <x:c r="A249" t="s">
        <x:v>22</x:v>
      </x:c>
      <x:c r="B249" t="s">
        <x:v>335</x:v>
      </x:c>
      <x:c r="C249" t="s">
        <x:v>22</x:v>
      </x:c>
      <x:c r="D249" t="s">
        <x:v>218</x:v>
      </x:c>
      <x:c r="E249" t="s">
        <x:v>63</x:v>
      </x:c>
      <x:c r="F249" t="s">
        <x:v>26</x:v>
      </x:c>
      <x:c r="G249" t="s">
        <x:v>27</x:v>
      </x:c>
      <x:c r="H249" t="s">
        <x:v>302</x:v>
      </x:c>
      <x:c r="I249">
        <x:v>14</x:v>
      </x:c>
      <x:c r="L249">
        <x:v>0</x:v>
      </x:c>
      <x:c r="M249">
        <x:v>3</x:v>
      </x:c>
      <x:c r="N249">
        <x:v>2.91</x:v>
      </x:c>
      <x:c r="O249">
        <x:v>1</x:v>
      </x:c>
      <x:c r="P249">
        <x:v>0</x:v>
      </x:c>
      <x:c r="Q249">
        <x:v>0</x:v>
      </x:c>
      <x:c r="R249" s="10">
        <x:v>0</x:v>
      </x:c>
      <x:c r="S249">
        <x:v>0</x:v>
      </x:c>
      <x:c r="T249">
        <x:v>0</x:v>
      </x:c>
      <x:c r="U249" s="10">
        <x:v>0</x:v>
      </x:c>
      <x:c r="W249" s="11" t="n">
        <x:f>Summary!$B$2</x:f>
        <x:v>0.15</x:v>
      </x:c>
      <x:c r="X249" s="11" t="n">
        <x:f>IFERROR(AD249-Summary!$B$2,"")</x:f>
        <x:v>-0.15</x:v>
      </x:c>
      <x:c r="Y249" s="10" t="str">
        <x:f>IFERROR((U249/Q249)*Summary!$B$2,"")</x:f>
      </x:c>
      <x:c r="Z249" s="12" t="n">
        <x:f>IFERROR(Q249/O249,0)</x:f>
        <x:v>0</x:v>
      </x:c>
      <x:c r="AA249" s="12" t="n">
        <x:f>IFERROR(T249/Q249,0)</x:f>
        <x:v>0</x:v>
      </x:c>
      <x:c r="AB249" s="10" t="n">
        <x:f>IFERROR(R249/Q249,0)</x:f>
        <x:v>0</x:v>
      </x:c>
      <x:c r="AC249" s="10" t="n">
        <x:f>IFERROR(U249/R249,0)</x:f>
        <x:v>0</x:v>
      </x:c>
      <x:c r="AD249" s="12" t="n">
        <x:f>IFERROR(R249/U249,0)</x:f>
        <x:v>0</x:v>
      </x:c>
      <x:c r="AE249" s="10" t="n">
        <x:f>IFERROR(U249/Q249,0)</x:f>
        <x:v>0</x:v>
      </x:c>
      <x:c r="AF249" s="10" t="n">
        <x:f>IF(Q249=0,M249,IF(U249=0,IF(Q249&gt;=10,MAX(0.02,M249*0.7),M249),IF(AD249=0,M249,MAX(0.02,IF(AD249&gt;Summary!$B$2,M249*Summary!$B$2/AD249,MIN(M249*1.2,M249*Summary!$B$2/AD249))))))</x:f>
        <x:v>3</x:v>
      </x:c>
      <x:c r="AG249" s="11" t="n">
        <x:f>IFERROR(AF249/M249-1,0)</x:f>
        <x:v>0</x:v>
      </x:c>
      <x:c r="AH249" t="str">
        <x:f>IF(Q249=0,"Need clicks",IF(AND(U249=0,Q249&gt;=10),"No sales: lower/pause",IF(AND(AD249&gt;Summary!$B$2,T249&gt;0),"Over target: reduce",IF(AND(AD249&lt;=Summary!$B$2,T249&gt;0),"At/under target: scale/hold",IF(AND(Q249&gt;0,T249=0),"Collect data","Review")))))</x:f>
        <x:v>Need clicks</x:v>
      </x:c>
      <x:c r="AI249" s="10" t="n">
        <x:f>IFERROR(IF(U249=0,R249,MAX(0,R249-(U249*Summary!$B$2))),0)</x:f>
        <x:v>0</x:v>
      </x:c>
      <x:c r="AJ249" t="str">
        <x:f>IF(AH249="No sales: lower/pause","Waste",IF(AH249="Over target: reduce","Inefficient",IF(AH249="At/under target: scale/hold","Efficient",IF(AND(O249&gt;=1000,Q249=0),"High imp/no click","Data gathering"))))</x:f>
        <x:v>Data gathering</x:v>
      </x:c>
    </x:row>
    <x:row r="250">
      <x:c r="A250" t="s">
        <x:v>22</x:v>
      </x:c>
      <x:c r="B250" t="s">
        <x:v>337</x:v>
      </x:c>
      <x:c r="C250" t="s">
        <x:v>22</x:v>
      </x:c>
      <x:c r="D250" t="s">
        <x:v>24</x:v>
      </x:c>
      <x:c r="E250" t="s">
        <x:v>63</x:v>
      </x:c>
      <x:c r="F250" t="s">
        <x:v>26</x:v>
      </x:c>
      <x:c r="G250" t="s">
        <x:v>27</x:v>
      </x:c>
      <x:c r="H250" t="s">
        <x:v>302</x:v>
      </x:c>
      <x:c r="I250">
        <x:v>14</x:v>
      </x:c>
      <x:c r="L250">
        <x:v>0</x:v>
      </x:c>
      <x:c r="M250">
        <x:v>3</x:v>
      </x:c>
      <x:c r="N250">
        <x:v>2.5299999999999998</x:v>
      </x:c>
      <x:c r="O250">
        <x:v>165</x:v>
      </x:c>
      <x:c r="P250" s="1" t="s">
        <x:v>338</x:v>
      </x:c>
      <x:c r="Q250">
        <x:v>0</x:v>
      </x:c>
      <x:c r="R250" s="10">
        <x:v>0</x:v>
      </x:c>
      <x:c r="S250">
        <x:v>0</x:v>
      </x:c>
      <x:c r="T250">
        <x:v>0</x:v>
      </x:c>
      <x:c r="U250" s="10">
        <x:v>0</x:v>
      </x:c>
      <x:c r="W250" s="11" t="n">
        <x:f>Summary!$B$2</x:f>
        <x:v>0.15</x:v>
      </x:c>
      <x:c r="X250" s="11" t="n">
        <x:f>IFERROR(AD250-Summary!$B$2,"")</x:f>
        <x:v>-0.15</x:v>
      </x:c>
      <x:c r="Y250" s="10" t="str">
        <x:f>IFERROR((U250/Q250)*Summary!$B$2,"")</x:f>
      </x:c>
      <x:c r="Z250" s="12" t="n">
        <x:f>IFERROR(Q250/O250,0)</x:f>
        <x:v>0</x:v>
      </x:c>
      <x:c r="AA250" s="12" t="n">
        <x:f>IFERROR(T250/Q250,0)</x:f>
        <x:v>0</x:v>
      </x:c>
      <x:c r="AB250" s="10" t="n">
        <x:f>IFERROR(R250/Q250,0)</x:f>
        <x:v>0</x:v>
      </x:c>
      <x:c r="AC250" s="10" t="n">
        <x:f>IFERROR(U250/R250,0)</x:f>
        <x:v>0</x:v>
      </x:c>
      <x:c r="AD250" s="12" t="n">
        <x:f>IFERROR(R250/U250,0)</x:f>
        <x:v>0</x:v>
      </x:c>
      <x:c r="AE250" s="10" t="n">
        <x:f>IFERROR(U250/Q250,0)</x:f>
        <x:v>0</x:v>
      </x:c>
      <x:c r="AF250" s="10" t="n">
        <x:f>IF(Q250=0,M250,IF(U250=0,IF(Q250&gt;=10,MAX(0.02,M250*0.7),M250),IF(AD250=0,M250,MAX(0.02,IF(AD250&gt;Summary!$B$2,M250*Summary!$B$2/AD250,MIN(M250*1.2,M250*Summary!$B$2/AD250))))))</x:f>
        <x:v>3</x:v>
      </x:c>
      <x:c r="AG250" s="11" t="n">
        <x:f>IFERROR(AF250/M250-1,0)</x:f>
        <x:v>0</x:v>
      </x:c>
      <x:c r="AH250" t="str">
        <x:f>IF(Q250=0,"Need clicks",IF(AND(U250=0,Q250&gt;=10),"No sales: lower/pause",IF(AND(AD250&gt;Summary!$B$2,T250&gt;0),"Over target: reduce",IF(AND(AD250&lt;=Summary!$B$2,T250&gt;0),"At/under target: scale/hold",IF(AND(Q250&gt;0,T250=0),"Collect data","Review")))))</x:f>
        <x:v>Need clicks</x:v>
      </x:c>
      <x:c r="AI250" s="10" t="n">
        <x:f>IFERROR(IF(U250=0,R250,MAX(0,R250-(U250*Summary!$B$2))),0)</x:f>
        <x:v>0</x:v>
      </x:c>
      <x:c r="AJ250" t="str">
        <x:f>IF(AH250="No sales: lower/pause","Waste",IF(AH250="Over target: reduce","Inefficient",IF(AH250="At/under target: scale/hold","Efficient",IF(AND(O250&gt;=1000,Q250=0),"High imp/no click","Data gathering"))))</x:f>
        <x:v>Data gathering</x:v>
      </x:c>
    </x:row>
    <x:row r="251">
      <x:c r="A251" t="s">
        <x:v>22</x:v>
      </x:c>
      <x:c r="B251" t="s">
        <x:v>339</x:v>
      </x:c>
      <x:c r="C251" t="s">
        <x:v>22</x:v>
      </x:c>
      <x:c r="D251" t="s">
        <x:v>24</x:v>
      </x:c>
      <x:c r="E251" t="s">
        <x:v>63</x:v>
      </x:c>
      <x:c r="F251" t="s">
        <x:v>26</x:v>
      </x:c>
      <x:c r="G251" t="s">
        <x:v>27</x:v>
      </x:c>
      <x:c r="H251" t="s">
        <x:v>302</x:v>
      </x:c>
      <x:c r="I251">
        <x:v>14</x:v>
      </x:c>
      <x:c r="L251">
        <x:v>0</x:v>
      </x:c>
      <x:c r="M251">
        <x:v>3</x:v>
      </x:c>
      <x:c r="N251">
        <x:v>2.33</x:v>
      </x:c>
      <x:c r="O251">
        <x:v>29</x:v>
      </x:c>
      <x:c r="P251" s="1" t="s">
        <x:v>340</x:v>
      </x:c>
      <x:c r="Q251">
        <x:v>0</x:v>
      </x:c>
      <x:c r="R251" s="10">
        <x:v>0</x:v>
      </x:c>
      <x:c r="S251">
        <x:v>0</x:v>
      </x:c>
      <x:c r="T251">
        <x:v>0</x:v>
      </x:c>
      <x:c r="U251" s="10">
        <x:v>0</x:v>
      </x:c>
      <x:c r="W251" s="11" t="n">
        <x:f>Summary!$B$2</x:f>
        <x:v>0.15</x:v>
      </x:c>
      <x:c r="X251" s="11" t="n">
        <x:f>IFERROR(AD251-Summary!$B$2,"")</x:f>
        <x:v>-0.15</x:v>
      </x:c>
      <x:c r="Y251" s="10" t="str">
        <x:f>IFERROR((U251/Q251)*Summary!$B$2,"")</x:f>
      </x:c>
      <x:c r="Z251" s="12" t="n">
        <x:f>IFERROR(Q251/O251,0)</x:f>
        <x:v>0</x:v>
      </x:c>
      <x:c r="AA251" s="12" t="n">
        <x:f>IFERROR(T251/Q251,0)</x:f>
        <x:v>0</x:v>
      </x:c>
      <x:c r="AB251" s="10" t="n">
        <x:f>IFERROR(R251/Q251,0)</x:f>
        <x:v>0</x:v>
      </x:c>
      <x:c r="AC251" s="10" t="n">
        <x:f>IFERROR(U251/R251,0)</x:f>
        <x:v>0</x:v>
      </x:c>
      <x:c r="AD251" s="12" t="n">
        <x:f>IFERROR(R251/U251,0)</x:f>
        <x:v>0</x:v>
      </x:c>
      <x:c r="AE251" s="10" t="n">
        <x:f>IFERROR(U251/Q251,0)</x:f>
        <x:v>0</x:v>
      </x:c>
      <x:c r="AF251" s="10" t="n">
        <x:f>IF(Q251=0,M251,IF(U251=0,IF(Q251&gt;=10,MAX(0.02,M251*0.7),M251),IF(AD251=0,M251,MAX(0.02,IF(AD251&gt;Summary!$B$2,M251*Summary!$B$2/AD251,MIN(M251*1.2,M251*Summary!$B$2/AD251))))))</x:f>
        <x:v>3</x:v>
      </x:c>
      <x:c r="AG251" s="11" t="n">
        <x:f>IFERROR(AF251/M251-1,0)</x:f>
        <x:v>0</x:v>
      </x:c>
      <x:c r="AH251" t="str">
        <x:f>IF(Q251=0,"Need clicks",IF(AND(U251=0,Q251&gt;=10),"No sales: lower/pause",IF(AND(AD251&gt;Summary!$B$2,T251&gt;0),"Over target: reduce",IF(AND(AD251&lt;=Summary!$B$2,T251&gt;0),"At/under target: scale/hold",IF(AND(Q251&gt;0,T251=0),"Collect data","Review")))))</x:f>
        <x:v>Need clicks</x:v>
      </x:c>
      <x:c r="AI251" s="10" t="n">
        <x:f>IFERROR(IF(U251=0,R251,MAX(0,R251-(U251*Summary!$B$2))),0)</x:f>
        <x:v>0</x:v>
      </x:c>
      <x:c r="AJ251" t="str">
        <x:f>IF(AH251="No sales: lower/pause","Waste",IF(AH251="Over target: reduce","Inefficient",IF(AH251="At/under target: scale/hold","Efficient",IF(AND(O251&gt;=1000,Q251=0),"High imp/no click","Data gathering"))))</x:f>
        <x:v>Data gathering</x:v>
      </x:c>
    </x:row>
    <x:row r="252">
      <x:c r="A252" t="s">
        <x:v>22</x:v>
      </x:c>
      <x:c r="B252" t="s">
        <x:v>341</x:v>
      </x:c>
      <x:c r="C252" t="s">
        <x:v>22</x:v>
      </x:c>
      <x:c r="D252" t="s">
        <x:v>24</x:v>
      </x:c>
      <x:c r="E252" t="s">
        <x:v>63</x:v>
      </x:c>
      <x:c r="F252" t="s">
        <x:v>26</x:v>
      </x:c>
      <x:c r="G252" t="s">
        <x:v>27</x:v>
      </x:c>
      <x:c r="H252" t="s">
        <x:v>302</x:v>
      </x:c>
      <x:c r="I252">
        <x:v>14</x:v>
      </x:c>
      <x:c r="L252">
        <x:v>0</x:v>
      </x:c>
      <x:c r="M252">
        <x:v>3</x:v>
      </x:c>
      <x:c r="N252">
        <x:v>2.4500000000000002</x:v>
      </x:c>
      <x:c r="O252">
        <x:v>38</x:v>
      </x:c>
      <x:c r="P252">
        <x:v>4.8971596474044997E-2</x:v>
      </x:c>
      <x:c r="Q252">
        <x:v>0</x:v>
      </x:c>
      <x:c r="R252" s="10">
        <x:v>0</x:v>
      </x:c>
      <x:c r="S252">
        <x:v>0</x:v>
      </x:c>
      <x:c r="T252">
        <x:v>0</x:v>
      </x:c>
      <x:c r="U252" s="10">
        <x:v>0</x:v>
      </x:c>
      <x:c r="W252" s="11" t="n">
        <x:f>Summary!$B$2</x:f>
        <x:v>0.15</x:v>
      </x:c>
      <x:c r="X252" s="11" t="n">
        <x:f>IFERROR(AD252-Summary!$B$2,"")</x:f>
        <x:v>-0.15</x:v>
      </x:c>
      <x:c r="Y252" s="10" t="str">
        <x:f>IFERROR((U252/Q252)*Summary!$B$2,"")</x:f>
      </x:c>
      <x:c r="Z252" s="12" t="n">
        <x:f>IFERROR(Q252/O252,0)</x:f>
        <x:v>0</x:v>
      </x:c>
      <x:c r="AA252" s="12" t="n">
        <x:f>IFERROR(T252/Q252,0)</x:f>
        <x:v>0</x:v>
      </x:c>
      <x:c r="AB252" s="10" t="n">
        <x:f>IFERROR(R252/Q252,0)</x:f>
        <x:v>0</x:v>
      </x:c>
      <x:c r="AC252" s="10" t="n">
        <x:f>IFERROR(U252/R252,0)</x:f>
        <x:v>0</x:v>
      </x:c>
      <x:c r="AD252" s="12" t="n">
        <x:f>IFERROR(R252/U252,0)</x:f>
        <x:v>0</x:v>
      </x:c>
      <x:c r="AE252" s="10" t="n">
        <x:f>IFERROR(U252/Q252,0)</x:f>
        <x:v>0</x:v>
      </x:c>
      <x:c r="AF252" s="10" t="n">
        <x:f>IF(Q252=0,M252,IF(U252=0,IF(Q252&gt;=10,MAX(0.02,M252*0.7),M252),IF(AD252=0,M252,MAX(0.02,IF(AD252&gt;Summary!$B$2,M252*Summary!$B$2/AD252,MIN(M252*1.2,M252*Summary!$B$2/AD252))))))</x:f>
        <x:v>3</x:v>
      </x:c>
      <x:c r="AG252" s="11" t="n">
        <x:f>IFERROR(AF252/M252-1,0)</x:f>
        <x:v>0</x:v>
      </x:c>
      <x:c r="AH252" t="str">
        <x:f>IF(Q252=0,"Need clicks",IF(AND(U252=0,Q252&gt;=10),"No sales: lower/pause",IF(AND(AD252&gt;Summary!$B$2,T252&gt;0),"Over target: reduce",IF(AND(AD252&lt;=Summary!$B$2,T252&gt;0),"At/under target: scale/hold",IF(AND(Q252&gt;0,T252=0),"Collect data","Review")))))</x:f>
        <x:v>Need clicks</x:v>
      </x:c>
      <x:c r="AI252" s="10" t="n">
        <x:f>IFERROR(IF(U252=0,R252,MAX(0,R252-(U252*Summary!$B$2))),0)</x:f>
        <x:v>0</x:v>
      </x:c>
      <x:c r="AJ252" t="str">
        <x:f>IF(AH252="No sales: lower/pause","Waste",IF(AH252="Over target: reduce","Inefficient",IF(AH252="At/under target: scale/hold","Efficient",IF(AND(O252&gt;=1000,Q252=0),"High imp/no click","Data gathering"))))</x:f>
        <x:v>Data gathering</x:v>
      </x:c>
    </x:row>
    <x:row r="253">
      <x:c r="A253" t="s">
        <x:v>22</x:v>
      </x:c>
      <x:c r="B253" t="s">
        <x:v>341</x:v>
      </x:c>
      <x:c r="C253" t="s">
        <x:v>22</x:v>
      </x:c>
      <x:c r="D253" t="s">
        <x:v>218</x:v>
      </x:c>
      <x:c r="E253" t="s">
        <x:v>63</x:v>
      </x:c>
      <x:c r="F253" t="s">
        <x:v>26</x:v>
      </x:c>
      <x:c r="G253" t="s">
        <x:v>27</x:v>
      </x:c>
      <x:c r="H253" t="s">
        <x:v>302</x:v>
      </x:c>
      <x:c r="I253">
        <x:v>14</x:v>
      </x:c>
      <x:c r="L253">
        <x:v>0</x:v>
      </x:c>
      <x:c r="M253">
        <x:v>3</x:v>
      </x:c>
      <x:c r="N253">
        <x:v>1.78</x:v>
      </x:c>
      <x:c r="O253">
        <x:v>3</x:v>
      </x:c>
      <x:c r="Q253">
        <x:v>0</x:v>
      </x:c>
      <x:c r="R253" s="10">
        <x:v>0</x:v>
      </x:c>
      <x:c r="S253">
        <x:v>0</x:v>
      </x:c>
      <x:c r="T253">
        <x:v>0</x:v>
      </x:c>
      <x:c r="U253" s="10">
        <x:v>0</x:v>
      </x:c>
      <x:c r="W253" s="11" t="n">
        <x:f>Summary!$B$2</x:f>
        <x:v>0.15</x:v>
      </x:c>
      <x:c r="X253" s="11" t="n">
        <x:f>IFERROR(AD253-Summary!$B$2,"")</x:f>
        <x:v>-0.15</x:v>
      </x:c>
      <x:c r="Y253" s="10" t="str">
        <x:f>IFERROR((U253/Q253)*Summary!$B$2,"")</x:f>
      </x:c>
      <x:c r="Z253" s="12" t="n">
        <x:f>IFERROR(Q253/O253,0)</x:f>
        <x:v>0</x:v>
      </x:c>
      <x:c r="AA253" s="12" t="n">
        <x:f>IFERROR(T253/Q253,0)</x:f>
        <x:v>0</x:v>
      </x:c>
      <x:c r="AB253" s="10" t="n">
        <x:f>IFERROR(R253/Q253,0)</x:f>
        <x:v>0</x:v>
      </x:c>
      <x:c r="AC253" s="10" t="n">
        <x:f>IFERROR(U253/R253,0)</x:f>
        <x:v>0</x:v>
      </x:c>
      <x:c r="AD253" s="12" t="n">
        <x:f>IFERROR(R253/U253,0)</x:f>
        <x:v>0</x:v>
      </x:c>
      <x:c r="AE253" s="10" t="n">
        <x:f>IFERROR(U253/Q253,0)</x:f>
        <x:v>0</x:v>
      </x:c>
      <x:c r="AF253" s="10" t="n">
        <x:f>IF(Q253=0,M253,IF(U253=0,IF(Q253&gt;=10,MAX(0.02,M253*0.7),M253),IF(AD253=0,M253,MAX(0.02,IF(AD253&gt;Summary!$B$2,M253*Summary!$B$2/AD253,MIN(M253*1.2,M253*Summary!$B$2/AD253))))))</x:f>
        <x:v>3</x:v>
      </x:c>
      <x:c r="AG253" s="11" t="n">
        <x:f>IFERROR(AF253/M253-1,0)</x:f>
        <x:v>0</x:v>
      </x:c>
      <x:c r="AH253" t="str">
        <x:f>IF(Q253=0,"Need clicks",IF(AND(U253=0,Q253&gt;=10),"No sales: lower/pause",IF(AND(AD253&gt;Summary!$B$2,T253&gt;0),"Over target: reduce",IF(AND(AD253&lt;=Summary!$B$2,T253&gt;0),"At/under target: scale/hold",IF(AND(Q253&gt;0,T253=0),"Collect data","Review")))))</x:f>
        <x:v>Need clicks</x:v>
      </x:c>
      <x:c r="AI253" s="10" t="n">
        <x:f>IFERROR(IF(U253=0,R253,MAX(0,R253-(U253*Summary!$B$2))),0)</x:f>
        <x:v>0</x:v>
      </x:c>
      <x:c r="AJ253" t="str">
        <x:f>IF(AH253="No sales: lower/pause","Waste",IF(AH253="Over target: reduce","Inefficient",IF(AH253="At/under target: scale/hold","Efficient",IF(AND(O253&gt;=1000,Q253=0),"High imp/no click","Data gathering"))))</x:f>
        <x:v>Data gathering</x:v>
      </x:c>
    </x:row>
    <x:row r="254">
      <x:c r="A254" t="s">
        <x:v>22</x:v>
      </x:c>
      <x:c r="B254" t="s">
        <x:v>342</x:v>
      </x:c>
      <x:c r="C254" t="s">
        <x:v>22</x:v>
      </x:c>
      <x:c r="D254" t="s">
        <x:v>24</x:v>
      </x:c>
      <x:c r="E254" t="s">
        <x:v>63</x:v>
      </x:c>
      <x:c r="F254" t="s">
        <x:v>26</x:v>
      </x:c>
      <x:c r="G254" t="s">
        <x:v>27</x:v>
      </x:c>
      <x:c r="H254" t="s">
        <x:v>302</x:v>
      </x:c>
      <x:c r="I254">
        <x:v>14</x:v>
      </x:c>
      <x:c r="L254">
        <x:v>0</x:v>
      </x:c>
      <x:c r="M254">
        <x:v>3</x:v>
      </x:c>
      <x:c r="N254">
        <x:v>4.95</x:v>
      </x:c>
      <x:c r="O254">
        <x:v>22</x:v>
      </x:c>
      <x:c r="P254">
        <x:v>10</x:v>
      </x:c>
      <x:c r="Q254">
        <x:v>0</x:v>
      </x:c>
      <x:c r="R254" s="10">
        <x:v>0</x:v>
      </x:c>
      <x:c r="S254">
        <x:v>0</x:v>
      </x:c>
      <x:c r="T254">
        <x:v>0</x:v>
      </x:c>
      <x:c r="U254" s="10">
        <x:v>0</x:v>
      </x:c>
      <x:c r="W254" s="11" t="n">
        <x:f>Summary!$B$2</x:f>
        <x:v>0.15</x:v>
      </x:c>
      <x:c r="X254" s="11" t="n">
        <x:f>IFERROR(AD254-Summary!$B$2,"")</x:f>
        <x:v>-0.15</x:v>
      </x:c>
      <x:c r="Y254" s="10" t="str">
        <x:f>IFERROR((U254/Q254)*Summary!$B$2,"")</x:f>
      </x:c>
      <x:c r="Z254" s="12" t="n">
        <x:f>IFERROR(Q254/O254,0)</x:f>
        <x:v>0</x:v>
      </x:c>
      <x:c r="AA254" s="12" t="n">
        <x:f>IFERROR(T254/Q254,0)</x:f>
        <x:v>0</x:v>
      </x:c>
      <x:c r="AB254" s="10" t="n">
        <x:f>IFERROR(R254/Q254,0)</x:f>
        <x:v>0</x:v>
      </x:c>
      <x:c r="AC254" s="10" t="n">
        <x:f>IFERROR(U254/R254,0)</x:f>
        <x:v>0</x:v>
      </x:c>
      <x:c r="AD254" s="12" t="n">
        <x:f>IFERROR(R254/U254,0)</x:f>
        <x:v>0</x:v>
      </x:c>
      <x:c r="AE254" s="10" t="n">
        <x:f>IFERROR(U254/Q254,0)</x:f>
        <x:v>0</x:v>
      </x:c>
      <x:c r="AF254" s="10" t="n">
        <x:f>IF(Q254=0,M254,IF(U254=0,IF(Q254&gt;=10,MAX(0.02,M254*0.7),M254),IF(AD254=0,M254,MAX(0.02,IF(AD254&gt;Summary!$B$2,M254*Summary!$B$2/AD254,MIN(M254*1.2,M254*Summary!$B$2/AD254))))))</x:f>
        <x:v>3</x:v>
      </x:c>
      <x:c r="AG254" s="11" t="n">
        <x:f>IFERROR(AF254/M254-1,0)</x:f>
        <x:v>0</x:v>
      </x:c>
      <x:c r="AH254" t="str">
        <x:f>IF(Q254=0,"Need clicks",IF(AND(U254=0,Q254&gt;=10),"No sales: lower/pause",IF(AND(AD254&gt;Summary!$B$2,T254&gt;0),"Over target: reduce",IF(AND(AD254&lt;=Summary!$B$2,T254&gt;0),"At/under target: scale/hold",IF(AND(Q254&gt;0,T254=0),"Collect data","Review")))))</x:f>
        <x:v>Need clicks</x:v>
      </x:c>
      <x:c r="AI254" s="10" t="n">
        <x:f>IFERROR(IF(U254=0,R254,MAX(0,R254-(U254*Summary!$B$2))),0)</x:f>
        <x:v>0</x:v>
      </x:c>
      <x:c r="AJ254" t="str">
        <x:f>IF(AH254="No sales: lower/pause","Waste",IF(AH254="Over target: reduce","Inefficient",IF(AH254="At/under target: scale/hold","Efficient",IF(AND(O254&gt;=1000,Q254=0),"High imp/no click","Data gathering"))))</x:f>
        <x:v>Data gathering</x:v>
      </x:c>
    </x:row>
    <x:row r="255">
      <x:c r="A255" t="s">
        <x:v>22</x:v>
      </x:c>
      <x:c r="B255" t="s">
        <x:v>343</x:v>
      </x:c>
      <x:c r="C255" t="s">
        <x:v>22</x:v>
      </x:c>
      <x:c r="D255" t="s">
        <x:v>24</x:v>
      </x:c>
      <x:c r="E255" t="s">
        <x:v>63</x:v>
      </x:c>
      <x:c r="F255" t="s">
        <x:v>26</x:v>
      </x:c>
      <x:c r="G255" t="s">
        <x:v>27</x:v>
      </x:c>
      <x:c r="H255" t="s">
        <x:v>302</x:v>
      </x:c>
      <x:c r="I255">
        <x:v>14</x:v>
      </x:c>
      <x:c r="L255">
        <x:v>0</x:v>
      </x:c>
      <x:c r="M255">
        <x:v>3</x:v>
      </x:c>
      <x:c r="N255">
        <x:v>3.06</x:v>
      </x:c>
      <x:c r="O255">
        <x:v>56</x:v>
      </x:c>
      <x:c r="P255" s="1" t="s">
        <x:v>344</x:v>
      </x:c>
      <x:c r="Q255">
        <x:v>0</x:v>
      </x:c>
      <x:c r="R255" s="10">
        <x:v>0</x:v>
      </x:c>
      <x:c r="S255">
        <x:v>0</x:v>
      </x:c>
      <x:c r="T255">
        <x:v>0</x:v>
      </x:c>
      <x:c r="U255" s="10">
        <x:v>0</x:v>
      </x:c>
      <x:c r="W255" s="11" t="n">
        <x:f>Summary!$B$2</x:f>
        <x:v>0.15</x:v>
      </x:c>
      <x:c r="X255" s="11" t="n">
        <x:f>IFERROR(AD255-Summary!$B$2,"")</x:f>
        <x:v>-0.15</x:v>
      </x:c>
      <x:c r="Y255" s="10" t="str">
        <x:f>IFERROR((U255/Q255)*Summary!$B$2,"")</x:f>
      </x:c>
      <x:c r="Z255" s="12" t="n">
        <x:f>IFERROR(Q255/O255,0)</x:f>
        <x:v>0</x:v>
      </x:c>
      <x:c r="AA255" s="12" t="n">
        <x:f>IFERROR(T255/Q255,0)</x:f>
        <x:v>0</x:v>
      </x:c>
      <x:c r="AB255" s="10" t="n">
        <x:f>IFERROR(R255/Q255,0)</x:f>
        <x:v>0</x:v>
      </x:c>
      <x:c r="AC255" s="10" t="n">
        <x:f>IFERROR(U255/R255,0)</x:f>
        <x:v>0</x:v>
      </x:c>
      <x:c r="AD255" s="12" t="n">
        <x:f>IFERROR(R255/U255,0)</x:f>
        <x:v>0</x:v>
      </x:c>
      <x:c r="AE255" s="10" t="n">
        <x:f>IFERROR(U255/Q255,0)</x:f>
        <x:v>0</x:v>
      </x:c>
      <x:c r="AF255" s="10" t="n">
        <x:f>IF(Q255=0,M255,IF(U255=0,IF(Q255&gt;=10,MAX(0.02,M255*0.7),M255),IF(AD255=0,M255,MAX(0.02,IF(AD255&gt;Summary!$B$2,M255*Summary!$B$2/AD255,MIN(M255*1.2,M255*Summary!$B$2/AD255))))))</x:f>
        <x:v>3</x:v>
      </x:c>
      <x:c r="AG255" s="11" t="n">
        <x:f>IFERROR(AF255/M255-1,0)</x:f>
        <x:v>0</x:v>
      </x:c>
      <x:c r="AH255" t="str">
        <x:f>IF(Q255=0,"Need clicks",IF(AND(U255=0,Q255&gt;=10),"No sales: lower/pause",IF(AND(AD255&gt;Summary!$B$2,T255&gt;0),"Over target: reduce",IF(AND(AD255&lt;=Summary!$B$2,T255&gt;0),"At/under target: scale/hold",IF(AND(Q255&gt;0,T255=0),"Collect data","Review")))))</x:f>
        <x:v>Need clicks</x:v>
      </x:c>
      <x:c r="AI255" s="10" t="n">
        <x:f>IFERROR(IF(U255=0,R255,MAX(0,R255-(U255*Summary!$B$2))),0)</x:f>
        <x:v>0</x:v>
      </x:c>
      <x:c r="AJ255" t="str">
        <x:f>IF(AH255="No sales: lower/pause","Waste",IF(AH255="Over target: reduce","Inefficient",IF(AH255="At/under target: scale/hold","Efficient",IF(AND(O255&gt;=1000,Q255=0),"High imp/no click","Data gathering"))))</x:f>
        <x:v>Data gathering</x:v>
      </x:c>
    </x:row>
    <x:row r="256">
      <x:c r="A256" t="s">
        <x:v>22</x:v>
      </x:c>
      <x:c r="B256" t="s">
        <x:v>345</x:v>
      </x:c>
      <x:c r="C256" t="s">
        <x:v>22</x:v>
      </x:c>
      <x:c r="D256" t="s">
        <x:v>24</x:v>
      </x:c>
      <x:c r="E256" t="s">
        <x:v>63</x:v>
      </x:c>
      <x:c r="F256" t="s">
        <x:v>26</x:v>
      </x:c>
      <x:c r="G256" t="s">
        <x:v>27</x:v>
      </x:c>
      <x:c r="H256" t="s">
        <x:v>302</x:v>
      </x:c>
      <x:c r="I256">
        <x:v>14</x:v>
      </x:c>
      <x:c r="L256">
        <x:v>0</x:v>
      </x:c>
      <x:c r="M256">
        <x:v>3</x:v>
      </x:c>
      <x:c r="N256">
        <x:v>0.98</x:v>
      </x:c>
      <x:c r="O256">
        <x:v>1037</x:v>
      </x:c>
      <x:c r="P256">
        <x:v>0</x:v>
      </x:c>
      <x:c r="Q256">
        <x:v>0</x:v>
      </x:c>
      <x:c r="R256" s="10">
        <x:v>0</x:v>
      </x:c>
      <x:c r="S256">
        <x:v>0</x:v>
      </x:c>
      <x:c r="T256">
        <x:v>0</x:v>
      </x:c>
      <x:c r="U256" s="10">
        <x:v>0</x:v>
      </x:c>
      <x:c r="W256" s="11" t="n">
        <x:f>Summary!$B$2</x:f>
        <x:v>0.15</x:v>
      </x:c>
      <x:c r="X256" s="11" t="n">
        <x:f>IFERROR(AD256-Summary!$B$2,"")</x:f>
        <x:v>-0.15</x:v>
      </x:c>
      <x:c r="Y256" s="10" t="str">
        <x:f>IFERROR((U256/Q256)*Summary!$B$2,"")</x:f>
      </x:c>
      <x:c r="Z256" s="12" t="n">
        <x:f>IFERROR(Q256/O256,0)</x:f>
        <x:v>0</x:v>
      </x:c>
      <x:c r="AA256" s="12" t="n">
        <x:f>IFERROR(T256/Q256,0)</x:f>
        <x:v>0</x:v>
      </x:c>
      <x:c r="AB256" s="10" t="n">
        <x:f>IFERROR(R256/Q256,0)</x:f>
        <x:v>0</x:v>
      </x:c>
      <x:c r="AC256" s="10" t="n">
        <x:f>IFERROR(U256/R256,0)</x:f>
        <x:v>0</x:v>
      </x:c>
      <x:c r="AD256" s="12" t="n">
        <x:f>IFERROR(R256/U256,0)</x:f>
        <x:v>0</x:v>
      </x:c>
      <x:c r="AE256" s="10" t="n">
        <x:f>IFERROR(U256/Q256,0)</x:f>
        <x:v>0</x:v>
      </x:c>
      <x:c r="AF256" s="10" t="n">
        <x:f>IF(Q256=0,M256,IF(U256=0,IF(Q256&gt;=10,MAX(0.02,M256*0.7),M256),IF(AD256=0,M256,MAX(0.02,IF(AD256&gt;Summary!$B$2,M256*Summary!$B$2/AD256,MIN(M256*1.2,M256*Summary!$B$2/AD256))))))</x:f>
        <x:v>3</x:v>
      </x:c>
      <x:c r="AG256" s="11" t="n">
        <x:f>IFERROR(AF256/M256-1,0)</x:f>
        <x:v>0</x:v>
      </x:c>
      <x:c r="AH256" t="str">
        <x:f>IF(Q256=0,"Need clicks",IF(AND(U256=0,Q256&gt;=10),"No sales: lower/pause",IF(AND(AD256&gt;Summary!$B$2,T256&gt;0),"Over target: reduce",IF(AND(AD256&lt;=Summary!$B$2,T256&gt;0),"At/under target: scale/hold",IF(AND(Q256&gt;0,T256=0),"Collect data","Review")))))</x:f>
        <x:v>Need clicks</x:v>
      </x:c>
      <x:c r="AI256" s="10" t="n">
        <x:f>IFERROR(IF(U256=0,R256,MAX(0,R256-(U256*Summary!$B$2))),0)</x:f>
        <x:v>0</x:v>
      </x:c>
      <x:c r="AJ256" t="str">
        <x:f>IF(AH256="No sales: lower/pause","Waste",IF(AH256="Over target: reduce","Inefficient",IF(AH256="At/under target: scale/hold","Efficient",IF(AND(O256&gt;=1000,Q256=0),"High imp/no click","Data gathering"))))</x:f>
        <x:v>High imp/no click</x:v>
      </x:c>
    </x:row>
    <x:row r="257">
      <x:c r="A257" t="s">
        <x:v>22</x:v>
      </x:c>
      <x:c r="B257" t="s">
        <x:v>345</x:v>
      </x:c>
      <x:c r="C257" t="s">
        <x:v>22</x:v>
      </x:c>
      <x:c r="D257" t="s">
        <x:v>218</x:v>
      </x:c>
      <x:c r="E257" t="s">
        <x:v>63</x:v>
      </x:c>
      <x:c r="F257" t="s">
        <x:v>26</x:v>
      </x:c>
      <x:c r="G257" t="s">
        <x:v>27</x:v>
      </x:c>
      <x:c r="H257" t="s">
        <x:v>302</x:v>
      </x:c>
      <x:c r="I257">
        <x:v>14</x:v>
      </x:c>
      <x:c r="L257">
        <x:v>0</x:v>
      </x:c>
      <x:c r="M257">
        <x:v>3</x:v>
      </x:c>
      <x:c r="N257">
        <x:v>2.31</x:v>
      </x:c>
      <x:c r="O257">
        <x:v>6</x:v>
      </x:c>
      <x:c r="P257" s="1" t="s">
        <x:v>346</x:v>
      </x:c>
      <x:c r="Q257">
        <x:v>0</x:v>
      </x:c>
      <x:c r="R257" s="10">
        <x:v>0</x:v>
      </x:c>
      <x:c r="S257">
        <x:v>0</x:v>
      </x:c>
      <x:c r="T257">
        <x:v>0</x:v>
      </x:c>
      <x:c r="U257" s="10">
        <x:v>0</x:v>
      </x:c>
      <x:c r="W257" s="11" t="n">
        <x:f>Summary!$B$2</x:f>
        <x:v>0.15</x:v>
      </x:c>
      <x:c r="X257" s="11" t="n">
        <x:f>IFERROR(AD257-Summary!$B$2,"")</x:f>
        <x:v>-0.15</x:v>
      </x:c>
      <x:c r="Y257" s="10" t="str">
        <x:f>IFERROR((U257/Q257)*Summary!$B$2,"")</x:f>
      </x:c>
      <x:c r="Z257" s="12" t="n">
        <x:f>IFERROR(Q257/O257,0)</x:f>
        <x:v>0</x:v>
      </x:c>
      <x:c r="AA257" s="12" t="n">
        <x:f>IFERROR(T257/Q257,0)</x:f>
        <x:v>0</x:v>
      </x:c>
      <x:c r="AB257" s="10" t="n">
        <x:f>IFERROR(R257/Q257,0)</x:f>
        <x:v>0</x:v>
      </x:c>
      <x:c r="AC257" s="10" t="n">
        <x:f>IFERROR(U257/R257,0)</x:f>
        <x:v>0</x:v>
      </x:c>
      <x:c r="AD257" s="12" t="n">
        <x:f>IFERROR(R257/U257,0)</x:f>
        <x:v>0</x:v>
      </x:c>
      <x:c r="AE257" s="10" t="n">
        <x:f>IFERROR(U257/Q257,0)</x:f>
        <x:v>0</x:v>
      </x:c>
      <x:c r="AF257" s="10" t="n">
        <x:f>IF(Q257=0,M257,IF(U257=0,IF(Q257&gt;=10,MAX(0.02,M257*0.7),M257),IF(AD257=0,M257,MAX(0.02,IF(AD257&gt;Summary!$B$2,M257*Summary!$B$2/AD257,MIN(M257*1.2,M257*Summary!$B$2/AD257))))))</x:f>
        <x:v>3</x:v>
      </x:c>
      <x:c r="AG257" s="11" t="n">
        <x:f>IFERROR(AF257/M257-1,0)</x:f>
        <x:v>0</x:v>
      </x:c>
      <x:c r="AH257" t="str">
        <x:f>IF(Q257=0,"Need clicks",IF(AND(U257=0,Q257&gt;=10),"No sales: lower/pause",IF(AND(AD257&gt;Summary!$B$2,T257&gt;0),"Over target: reduce",IF(AND(AD257&lt;=Summary!$B$2,T257&gt;0),"At/under target: scale/hold",IF(AND(Q257&gt;0,T257=0),"Collect data","Review")))))</x:f>
        <x:v>Need clicks</x:v>
      </x:c>
      <x:c r="AI257" s="10" t="n">
        <x:f>IFERROR(IF(U257=0,R257,MAX(0,R257-(U257*Summary!$B$2))),0)</x:f>
        <x:v>0</x:v>
      </x:c>
      <x:c r="AJ257" t="str">
        <x:f>IF(AH257="No sales: lower/pause","Waste",IF(AH257="Over target: reduce","Inefficient",IF(AH257="At/under target: scale/hold","Efficient",IF(AND(O257&gt;=1000,Q257=0),"High imp/no click","Data gathering"))))</x:f>
        <x:v>Data gathering</x:v>
      </x:c>
    </x:row>
    <x:row r="258">
      <x:c r="A258" t="s">
        <x:v>22</x:v>
      </x:c>
      <x:c r="B258" t="s">
        <x:v>347</x:v>
      </x:c>
      <x:c r="C258" t="s">
        <x:v>22</x:v>
      </x:c>
      <x:c r="D258" t="s">
        <x:v>24</x:v>
      </x:c>
      <x:c r="E258" t="s">
        <x:v>63</x:v>
      </x:c>
      <x:c r="F258" t="s">
        <x:v>26</x:v>
      </x:c>
      <x:c r="G258" t="s">
        <x:v>27</x:v>
      </x:c>
      <x:c r="H258" t="s">
        <x:v>302</x:v>
      </x:c>
      <x:c r="I258">
        <x:v>14</x:v>
      </x:c>
      <x:c r="L258">
        <x:v>0</x:v>
      </x:c>
      <x:c r="M258">
        <x:v>3</x:v>
      </x:c>
      <x:c r="N258">
        <x:v>3.69</x:v>
      </x:c>
      <x:c r="O258">
        <x:v>366</x:v>
      </x:c>
      <x:c r="P258" s="1" t="s">
        <x:v>348</x:v>
      </x:c>
      <x:c r="Q258">
        <x:v>0</x:v>
      </x:c>
      <x:c r="R258" s="10">
        <x:v>0</x:v>
      </x:c>
      <x:c r="S258">
        <x:v>0</x:v>
      </x:c>
      <x:c r="T258">
        <x:v>0</x:v>
      </x:c>
      <x:c r="U258" s="10">
        <x:v>0</x:v>
      </x:c>
      <x:c r="W258" s="11" t="n">
        <x:f>Summary!$B$2</x:f>
        <x:v>0.15</x:v>
      </x:c>
      <x:c r="X258" s="11" t="n">
        <x:f>IFERROR(AD258-Summary!$B$2,"")</x:f>
        <x:v>-0.15</x:v>
      </x:c>
      <x:c r="Y258" s="10" t="str">
        <x:f>IFERROR((U258/Q258)*Summary!$B$2,"")</x:f>
      </x:c>
      <x:c r="Z258" s="12" t="n">
        <x:f>IFERROR(Q258/O258,0)</x:f>
        <x:v>0</x:v>
      </x:c>
      <x:c r="AA258" s="12" t="n">
        <x:f>IFERROR(T258/Q258,0)</x:f>
        <x:v>0</x:v>
      </x:c>
      <x:c r="AB258" s="10" t="n">
        <x:f>IFERROR(R258/Q258,0)</x:f>
        <x:v>0</x:v>
      </x:c>
      <x:c r="AC258" s="10" t="n">
        <x:f>IFERROR(U258/R258,0)</x:f>
        <x:v>0</x:v>
      </x:c>
      <x:c r="AD258" s="12" t="n">
        <x:f>IFERROR(R258/U258,0)</x:f>
        <x:v>0</x:v>
      </x:c>
      <x:c r="AE258" s="10" t="n">
        <x:f>IFERROR(U258/Q258,0)</x:f>
        <x:v>0</x:v>
      </x:c>
      <x:c r="AF258" s="10" t="n">
        <x:f>IF(Q258=0,M258,IF(U258=0,IF(Q258&gt;=10,MAX(0.02,M258*0.7),M258),IF(AD258=0,M258,MAX(0.02,IF(AD258&gt;Summary!$B$2,M258*Summary!$B$2/AD258,MIN(M258*1.2,M258*Summary!$B$2/AD258))))))</x:f>
        <x:v>3</x:v>
      </x:c>
      <x:c r="AG258" s="11" t="n">
        <x:f>IFERROR(AF258/M258-1,0)</x:f>
        <x:v>0</x:v>
      </x:c>
      <x:c r="AH258" t="str">
        <x:f>IF(Q258=0,"Need clicks",IF(AND(U258=0,Q258&gt;=10),"No sales: lower/pause",IF(AND(AD258&gt;Summary!$B$2,T258&gt;0),"Over target: reduce",IF(AND(AD258&lt;=Summary!$B$2,T258&gt;0),"At/under target: scale/hold",IF(AND(Q258&gt;0,T258=0),"Collect data","Review")))))</x:f>
        <x:v>Need clicks</x:v>
      </x:c>
      <x:c r="AI258" s="10" t="n">
        <x:f>IFERROR(IF(U258=0,R258,MAX(0,R258-(U258*Summary!$B$2))),0)</x:f>
        <x:v>0</x:v>
      </x:c>
      <x:c r="AJ258" t="str">
        <x:f>IF(AH258="No sales: lower/pause","Waste",IF(AH258="Over target: reduce","Inefficient",IF(AH258="At/under target: scale/hold","Efficient",IF(AND(O258&gt;=1000,Q258=0),"High imp/no click","Data gathering"))))</x:f>
        <x:v>Data gathering</x:v>
      </x:c>
    </x:row>
    <x:row r="259">
      <x:c r="A259" t="s">
        <x:v>22</x:v>
      </x:c>
      <x:c r="B259" t="s">
        <x:v>349</x:v>
      </x:c>
      <x:c r="C259" t="s">
        <x:v>22</x:v>
      </x:c>
      <x:c r="D259" t="s">
        <x:v>24</x:v>
      </x:c>
      <x:c r="E259" t="s">
        <x:v>63</x:v>
      </x:c>
      <x:c r="F259" t="s">
        <x:v>26</x:v>
      </x:c>
      <x:c r="G259" t="s">
        <x:v>27</x:v>
      </x:c>
      <x:c r="H259" t="s">
        <x:v>302</x:v>
      </x:c>
      <x:c r="I259">
        <x:v>14</x:v>
      </x:c>
      <x:c r="L259">
        <x:v>0</x:v>
      </x:c>
      <x:c r="M259">
        <x:v>3</x:v>
      </x:c>
      <x:c r="O259">
        <x:v>9</x:v>
      </x:c>
      <x:c r="P259">
        <x:v>0</x:v>
      </x:c>
      <x:c r="Q259">
        <x:v>0</x:v>
      </x:c>
      <x:c r="R259" s="10">
        <x:v>0</x:v>
      </x:c>
      <x:c r="S259">
        <x:v>0</x:v>
      </x:c>
      <x:c r="T259">
        <x:v>0</x:v>
      </x:c>
      <x:c r="U259" s="10">
        <x:v>0</x:v>
      </x:c>
      <x:c r="W259" s="11" t="n">
        <x:f>Summary!$B$2</x:f>
        <x:v>0.15</x:v>
      </x:c>
      <x:c r="X259" s="11" t="n">
        <x:f>IFERROR(AD259-Summary!$B$2,"")</x:f>
        <x:v>-0.15</x:v>
      </x:c>
      <x:c r="Y259" s="10" t="str">
        <x:f>IFERROR((U259/Q259)*Summary!$B$2,"")</x:f>
      </x:c>
      <x:c r="Z259" s="12" t="n">
        <x:f>IFERROR(Q259/O259,0)</x:f>
        <x:v>0</x:v>
      </x:c>
      <x:c r="AA259" s="12" t="n">
        <x:f>IFERROR(T259/Q259,0)</x:f>
        <x:v>0</x:v>
      </x:c>
      <x:c r="AB259" s="10" t="n">
        <x:f>IFERROR(R259/Q259,0)</x:f>
        <x:v>0</x:v>
      </x:c>
      <x:c r="AC259" s="10" t="n">
        <x:f>IFERROR(U259/R259,0)</x:f>
        <x:v>0</x:v>
      </x:c>
      <x:c r="AD259" s="12" t="n">
        <x:f>IFERROR(R259/U259,0)</x:f>
        <x:v>0</x:v>
      </x:c>
      <x:c r="AE259" s="10" t="n">
        <x:f>IFERROR(U259/Q259,0)</x:f>
        <x:v>0</x:v>
      </x:c>
      <x:c r="AF259" s="10" t="n">
        <x:f>IF(Q259=0,M259,IF(U259=0,IF(Q259&gt;=10,MAX(0.02,M259*0.7),M259),IF(AD259=0,M259,MAX(0.02,IF(AD259&gt;Summary!$B$2,M259*Summary!$B$2/AD259,MIN(M259*1.2,M259*Summary!$B$2/AD259))))))</x:f>
        <x:v>3</x:v>
      </x:c>
      <x:c r="AG259" s="11" t="n">
        <x:f>IFERROR(AF259/M259-1,0)</x:f>
        <x:v>0</x:v>
      </x:c>
      <x:c r="AH259" t="str">
        <x:f>IF(Q259=0,"Need clicks",IF(AND(U259=0,Q259&gt;=10),"No sales: lower/pause",IF(AND(AD259&gt;Summary!$B$2,T259&gt;0),"Over target: reduce",IF(AND(AD259&lt;=Summary!$B$2,T259&gt;0),"At/under target: scale/hold",IF(AND(Q259&gt;0,T259=0),"Collect data","Review")))))</x:f>
        <x:v>Need clicks</x:v>
      </x:c>
      <x:c r="AI259" s="10" t="n">
        <x:f>IFERROR(IF(U259=0,R259,MAX(0,R259-(U259*Summary!$B$2))),0)</x:f>
        <x:v>0</x:v>
      </x:c>
      <x:c r="AJ259" t="str">
        <x:f>IF(AH259="No sales: lower/pause","Waste",IF(AH259="Over target: reduce","Inefficient",IF(AH259="At/under target: scale/hold","Efficient",IF(AND(O259&gt;=1000,Q259=0),"High imp/no click","Data gathering"))))</x:f>
        <x:v>Data gathering</x:v>
      </x:c>
    </x:row>
    <x:row r="260">
      <x:c r="A260" t="s">
        <x:v>22</x:v>
      </x:c>
      <x:c r="B260" t="s">
        <x:v>350</x:v>
      </x:c>
      <x:c r="C260" t="s">
        <x:v>22</x:v>
      </x:c>
      <x:c r="D260" t="s">
        <x:v>24</x:v>
      </x:c>
      <x:c r="E260" t="s">
        <x:v>63</x:v>
      </x:c>
      <x:c r="F260" t="s">
        <x:v>26</x:v>
      </x:c>
      <x:c r="G260" t="s">
        <x:v>27</x:v>
      </x:c>
      <x:c r="H260" t="s">
        <x:v>302</x:v>
      </x:c>
      <x:c r="I260">
        <x:v>14</x:v>
      </x:c>
      <x:c r="L260">
        <x:v>0</x:v>
      </x:c>
      <x:c r="M260">
        <x:v>3</x:v>
      </x:c>
      <x:c r="N260">
        <x:v>3.83</x:v>
      </x:c>
      <x:c r="O260">
        <x:v>604</x:v>
      </x:c>
      <x:c r="P260">
        <x:v>6.5599580162686898E-3</x:v>
      </x:c>
      <x:c r="Q260">
        <x:v>0</x:v>
      </x:c>
      <x:c r="R260" s="10">
        <x:v>0</x:v>
      </x:c>
      <x:c r="S260">
        <x:v>0</x:v>
      </x:c>
      <x:c r="T260">
        <x:v>0</x:v>
      </x:c>
      <x:c r="U260" s="10">
        <x:v>0</x:v>
      </x:c>
      <x:c r="W260" s="11" t="n">
        <x:f>Summary!$B$2</x:f>
        <x:v>0.15</x:v>
      </x:c>
      <x:c r="X260" s="11" t="n">
        <x:f>IFERROR(AD260-Summary!$B$2,"")</x:f>
        <x:v>-0.15</x:v>
      </x:c>
      <x:c r="Y260" s="10" t="str">
        <x:f>IFERROR((U260/Q260)*Summary!$B$2,"")</x:f>
      </x:c>
      <x:c r="Z260" s="12" t="n">
        <x:f>IFERROR(Q260/O260,0)</x:f>
        <x:v>0</x:v>
      </x:c>
      <x:c r="AA260" s="12" t="n">
        <x:f>IFERROR(T260/Q260,0)</x:f>
        <x:v>0</x:v>
      </x:c>
      <x:c r="AB260" s="10" t="n">
        <x:f>IFERROR(R260/Q260,0)</x:f>
        <x:v>0</x:v>
      </x:c>
      <x:c r="AC260" s="10" t="n">
        <x:f>IFERROR(U260/R260,0)</x:f>
        <x:v>0</x:v>
      </x:c>
      <x:c r="AD260" s="12" t="n">
        <x:f>IFERROR(R260/U260,0)</x:f>
        <x:v>0</x:v>
      </x:c>
      <x:c r="AE260" s="10" t="n">
        <x:f>IFERROR(U260/Q260,0)</x:f>
        <x:v>0</x:v>
      </x:c>
      <x:c r="AF260" s="10" t="n">
        <x:f>IF(Q260=0,M260,IF(U260=0,IF(Q260&gt;=10,MAX(0.02,M260*0.7),M260),IF(AD260=0,M260,MAX(0.02,IF(AD260&gt;Summary!$B$2,M260*Summary!$B$2/AD260,MIN(M260*1.2,M260*Summary!$B$2/AD260))))))</x:f>
        <x:v>3</x:v>
      </x:c>
      <x:c r="AG260" s="11" t="n">
        <x:f>IFERROR(AF260/M260-1,0)</x:f>
        <x:v>0</x:v>
      </x:c>
      <x:c r="AH260" t="str">
        <x:f>IF(Q260=0,"Need clicks",IF(AND(U260=0,Q260&gt;=10),"No sales: lower/pause",IF(AND(AD260&gt;Summary!$B$2,T260&gt;0),"Over target: reduce",IF(AND(AD260&lt;=Summary!$B$2,T260&gt;0),"At/under target: scale/hold",IF(AND(Q260&gt;0,T260=0),"Collect data","Review")))))</x:f>
        <x:v>Need clicks</x:v>
      </x:c>
      <x:c r="AI260" s="10" t="n">
        <x:f>IFERROR(IF(U260=0,R260,MAX(0,R260-(U260*Summary!$B$2))),0)</x:f>
        <x:v>0</x:v>
      </x:c>
      <x:c r="AJ260" t="str">
        <x:f>IF(AH260="No sales: lower/pause","Waste",IF(AH260="Over target: reduce","Inefficient",IF(AH260="At/under target: scale/hold","Efficient",IF(AND(O260&gt;=1000,Q260=0),"High imp/no click","Data gathering"))))</x:f>
        <x:v>Data gathering</x:v>
      </x:c>
    </x:row>
    <x:row r="261">
      <x:c r="A261" t="s">
        <x:v>22</x:v>
      </x:c>
      <x:c r="B261" t="s">
        <x:v>351</x:v>
      </x:c>
      <x:c r="C261" t="s">
        <x:v>22</x:v>
      </x:c>
      <x:c r="D261" t="s">
        <x:v>24</x:v>
      </x:c>
      <x:c r="E261" t="s">
        <x:v>63</x:v>
      </x:c>
      <x:c r="F261" t="s">
        <x:v>26</x:v>
      </x:c>
      <x:c r="G261" t="s">
        <x:v>27</x:v>
      </x:c>
      <x:c r="H261" t="s">
        <x:v>302</x:v>
      </x:c>
      <x:c r="I261">
        <x:v>14</x:v>
      </x:c>
      <x:c r="L261">
        <x:v>0</x:v>
      </x:c>
      <x:c r="M261">
        <x:v>3</x:v>
      </x:c>
      <x:c r="N261">
        <x:v>2.14</x:v>
      </x:c>
      <x:c r="O261">
        <x:v>1102</x:v>
      </x:c>
      <x:c r="P261">
        <x:v>6.0424329856416598E-3</x:v>
      </x:c>
      <x:c r="Q261">
        <x:v>0</x:v>
      </x:c>
      <x:c r="R261" s="10">
        <x:v>0</x:v>
      </x:c>
      <x:c r="S261">
        <x:v>0</x:v>
      </x:c>
      <x:c r="T261">
        <x:v>0</x:v>
      </x:c>
      <x:c r="U261" s="10">
        <x:v>0</x:v>
      </x:c>
      <x:c r="W261" s="11" t="n">
        <x:f>Summary!$B$2</x:f>
        <x:v>0.15</x:v>
      </x:c>
      <x:c r="X261" s="11" t="n">
        <x:f>IFERROR(AD261-Summary!$B$2,"")</x:f>
        <x:v>-0.15</x:v>
      </x:c>
      <x:c r="Y261" s="10" t="str">
        <x:f>IFERROR((U261/Q261)*Summary!$B$2,"")</x:f>
      </x:c>
      <x:c r="Z261" s="12" t="n">
        <x:f>IFERROR(Q261/O261,0)</x:f>
        <x:v>0</x:v>
      </x:c>
      <x:c r="AA261" s="12" t="n">
        <x:f>IFERROR(T261/Q261,0)</x:f>
        <x:v>0</x:v>
      </x:c>
      <x:c r="AB261" s="10" t="n">
        <x:f>IFERROR(R261/Q261,0)</x:f>
        <x:v>0</x:v>
      </x:c>
      <x:c r="AC261" s="10" t="n">
        <x:f>IFERROR(U261/R261,0)</x:f>
        <x:v>0</x:v>
      </x:c>
      <x:c r="AD261" s="12" t="n">
        <x:f>IFERROR(R261/U261,0)</x:f>
        <x:v>0</x:v>
      </x:c>
      <x:c r="AE261" s="10" t="n">
        <x:f>IFERROR(U261/Q261,0)</x:f>
        <x:v>0</x:v>
      </x:c>
      <x:c r="AF261" s="10" t="n">
        <x:f>IF(Q261=0,M261,IF(U261=0,IF(Q261&gt;=10,MAX(0.02,M261*0.7),M261),IF(AD261=0,M261,MAX(0.02,IF(AD261&gt;Summary!$B$2,M261*Summary!$B$2/AD261,MIN(M261*1.2,M261*Summary!$B$2/AD261))))))</x:f>
        <x:v>3</x:v>
      </x:c>
      <x:c r="AG261" s="11" t="n">
        <x:f>IFERROR(AF261/M261-1,0)</x:f>
        <x:v>0</x:v>
      </x:c>
      <x:c r="AH261" t="str">
        <x:f>IF(Q261=0,"Need clicks",IF(AND(U261=0,Q261&gt;=10),"No sales: lower/pause",IF(AND(AD261&gt;Summary!$B$2,T261&gt;0),"Over target: reduce",IF(AND(AD261&lt;=Summary!$B$2,T261&gt;0),"At/under target: scale/hold",IF(AND(Q261&gt;0,T261=0),"Collect data","Review")))))</x:f>
        <x:v>Need clicks</x:v>
      </x:c>
      <x:c r="AI261" s="10" t="n">
        <x:f>IFERROR(IF(U261=0,R261,MAX(0,R261-(U261*Summary!$B$2))),0)</x:f>
        <x:v>0</x:v>
      </x:c>
      <x:c r="AJ261" t="str">
        <x:f>IF(AH261="No sales: lower/pause","Waste",IF(AH261="Over target: reduce","Inefficient",IF(AH261="At/under target: scale/hold","Efficient",IF(AND(O261&gt;=1000,Q261=0),"High imp/no click","Data gathering"))))</x:f>
        <x:v>High imp/no click</x:v>
      </x:c>
    </x:row>
    <x:row r="262">
      <x:c r="A262" t="s">
        <x:v>22</x:v>
      </x:c>
      <x:c r="B262" t="s">
        <x:v>351</x:v>
      </x:c>
      <x:c r="C262" t="s">
        <x:v>22</x:v>
      </x:c>
      <x:c r="D262" t="s">
        <x:v>218</x:v>
      </x:c>
      <x:c r="E262" t="s">
        <x:v>63</x:v>
      </x:c>
      <x:c r="F262" t="s">
        <x:v>26</x:v>
      </x:c>
      <x:c r="G262" t="s">
        <x:v>27</x:v>
      </x:c>
      <x:c r="H262" t="s">
        <x:v>302</x:v>
      </x:c>
      <x:c r="I262">
        <x:v>14</x:v>
      </x:c>
      <x:c r="L262">
        <x:v>0</x:v>
      </x:c>
      <x:c r="M262">
        <x:v>3</x:v>
      </x:c>
      <x:c r="N262">
        <x:v>2.44</x:v>
      </x:c>
      <x:c r="O262">
        <x:v>27</x:v>
      </x:c>
      <x:c r="P262">
        <x:v>0</x:v>
      </x:c>
      <x:c r="Q262">
        <x:v>0</x:v>
      </x:c>
      <x:c r="R262" s="10">
        <x:v>0</x:v>
      </x:c>
      <x:c r="S262">
        <x:v>0</x:v>
      </x:c>
      <x:c r="T262">
        <x:v>0</x:v>
      </x:c>
      <x:c r="U262" s="10">
        <x:v>0</x:v>
      </x:c>
      <x:c r="W262" s="11" t="n">
        <x:f>Summary!$B$2</x:f>
        <x:v>0.15</x:v>
      </x:c>
      <x:c r="X262" s="11" t="n">
        <x:f>IFERROR(AD262-Summary!$B$2,"")</x:f>
        <x:v>-0.15</x:v>
      </x:c>
      <x:c r="Y262" s="10" t="str">
        <x:f>IFERROR((U262/Q262)*Summary!$B$2,"")</x:f>
      </x:c>
      <x:c r="Z262" s="12" t="n">
        <x:f>IFERROR(Q262/O262,0)</x:f>
        <x:v>0</x:v>
      </x:c>
      <x:c r="AA262" s="12" t="n">
        <x:f>IFERROR(T262/Q262,0)</x:f>
        <x:v>0</x:v>
      </x:c>
      <x:c r="AB262" s="10" t="n">
        <x:f>IFERROR(R262/Q262,0)</x:f>
        <x:v>0</x:v>
      </x:c>
      <x:c r="AC262" s="10" t="n">
        <x:f>IFERROR(U262/R262,0)</x:f>
        <x:v>0</x:v>
      </x:c>
      <x:c r="AD262" s="12" t="n">
        <x:f>IFERROR(R262/U262,0)</x:f>
        <x:v>0</x:v>
      </x:c>
      <x:c r="AE262" s="10" t="n">
        <x:f>IFERROR(U262/Q262,0)</x:f>
        <x:v>0</x:v>
      </x:c>
      <x:c r="AF262" s="10" t="n">
        <x:f>IF(Q262=0,M262,IF(U262=0,IF(Q262&gt;=10,MAX(0.02,M262*0.7),M262),IF(AD262=0,M262,MAX(0.02,IF(AD262&gt;Summary!$B$2,M262*Summary!$B$2/AD262,MIN(M262*1.2,M262*Summary!$B$2/AD262))))))</x:f>
        <x:v>3</x:v>
      </x:c>
      <x:c r="AG262" s="11" t="n">
        <x:f>IFERROR(AF262/M262-1,0)</x:f>
        <x:v>0</x:v>
      </x:c>
      <x:c r="AH262" t="str">
        <x:f>IF(Q262=0,"Need clicks",IF(AND(U262=0,Q262&gt;=10),"No sales: lower/pause",IF(AND(AD262&gt;Summary!$B$2,T262&gt;0),"Over target: reduce",IF(AND(AD262&lt;=Summary!$B$2,T262&gt;0),"At/under target: scale/hold",IF(AND(Q262&gt;0,T262=0),"Collect data","Review")))))</x:f>
        <x:v>Need clicks</x:v>
      </x:c>
      <x:c r="AI262" s="10" t="n">
        <x:f>IFERROR(IF(U262=0,R262,MAX(0,R262-(U262*Summary!$B$2))),0)</x:f>
        <x:v>0</x:v>
      </x:c>
      <x:c r="AJ262" t="str">
        <x:f>IF(AH262="No sales: lower/pause","Waste",IF(AH262="Over target: reduce","Inefficient",IF(AH262="At/under target: scale/hold","Efficient",IF(AND(O262&gt;=1000,Q262=0),"High imp/no click","Data gathering"))))</x:f>
        <x:v>Data gathering</x:v>
      </x:c>
    </x:row>
    <x:row r="263">
      <x:c r="A263" t="s">
        <x:v>22</x:v>
      </x:c>
      <x:c r="B263" t="s">
        <x:v>352</x:v>
      </x:c>
      <x:c r="C263" t="s">
        <x:v>22</x:v>
      </x:c>
      <x:c r="D263" t="s">
        <x:v>24</x:v>
      </x:c>
      <x:c r="E263" t="s">
        <x:v>63</x:v>
      </x:c>
      <x:c r="F263" t="s">
        <x:v>26</x:v>
      </x:c>
      <x:c r="G263" t="s">
        <x:v>27</x:v>
      </x:c>
      <x:c r="H263" t="s">
        <x:v>302</x:v>
      </x:c>
      <x:c r="I263">
        <x:v>14</x:v>
      </x:c>
      <x:c r="L263">
        <x:v>0</x:v>
      </x:c>
      <x:c r="M263">
        <x:v>3</x:v>
      </x:c>
      <x:c r="N263">
        <x:v>2.31</x:v>
      </x:c>
      <x:c r="O263">
        <x:v>40</x:v>
      </x:c>
      <x:c r="P263">
        <x:v>0</x:v>
      </x:c>
      <x:c r="Q263">
        <x:v>0</x:v>
      </x:c>
      <x:c r="R263" s="10">
        <x:v>0</x:v>
      </x:c>
      <x:c r="S263">
        <x:v>0</x:v>
      </x:c>
      <x:c r="T263">
        <x:v>0</x:v>
      </x:c>
      <x:c r="U263" s="10">
        <x:v>0</x:v>
      </x:c>
      <x:c r="W263" s="11" t="n">
        <x:f>Summary!$B$2</x:f>
        <x:v>0.15</x:v>
      </x:c>
      <x:c r="X263" s="11" t="n">
        <x:f>IFERROR(AD263-Summary!$B$2,"")</x:f>
        <x:v>-0.15</x:v>
      </x:c>
      <x:c r="Y263" s="10" t="str">
        <x:f>IFERROR((U263/Q263)*Summary!$B$2,"")</x:f>
      </x:c>
      <x:c r="Z263" s="12" t="n">
        <x:f>IFERROR(Q263/O263,0)</x:f>
        <x:v>0</x:v>
      </x:c>
      <x:c r="AA263" s="12" t="n">
        <x:f>IFERROR(T263/Q263,0)</x:f>
        <x:v>0</x:v>
      </x:c>
      <x:c r="AB263" s="10" t="n">
        <x:f>IFERROR(R263/Q263,0)</x:f>
        <x:v>0</x:v>
      </x:c>
      <x:c r="AC263" s="10" t="n">
        <x:f>IFERROR(U263/R263,0)</x:f>
        <x:v>0</x:v>
      </x:c>
      <x:c r="AD263" s="12" t="n">
        <x:f>IFERROR(R263/U263,0)</x:f>
        <x:v>0</x:v>
      </x:c>
      <x:c r="AE263" s="10" t="n">
        <x:f>IFERROR(U263/Q263,0)</x:f>
        <x:v>0</x:v>
      </x:c>
      <x:c r="AF263" s="10" t="n">
        <x:f>IF(Q263=0,M263,IF(U263=0,IF(Q263&gt;=10,MAX(0.02,M263*0.7),M263),IF(AD263=0,M263,MAX(0.02,IF(AD263&gt;Summary!$B$2,M263*Summary!$B$2/AD263,MIN(M263*1.2,M263*Summary!$B$2/AD263))))))</x:f>
        <x:v>3</x:v>
      </x:c>
      <x:c r="AG263" s="11" t="n">
        <x:f>IFERROR(AF263/M263-1,0)</x:f>
        <x:v>0</x:v>
      </x:c>
      <x:c r="AH263" t="str">
        <x:f>IF(Q263=0,"Need clicks",IF(AND(U263=0,Q263&gt;=10),"No sales: lower/pause",IF(AND(AD263&gt;Summary!$B$2,T263&gt;0),"Over target: reduce",IF(AND(AD263&lt;=Summary!$B$2,T263&gt;0),"At/under target: scale/hold",IF(AND(Q263&gt;0,T263=0),"Collect data","Review")))))</x:f>
        <x:v>Need clicks</x:v>
      </x:c>
      <x:c r="AI263" s="10" t="n">
        <x:f>IFERROR(IF(U263=0,R263,MAX(0,R263-(U263*Summary!$B$2))),0)</x:f>
        <x:v>0</x:v>
      </x:c>
      <x:c r="AJ263" t="str">
        <x:f>IF(AH263="No sales: lower/pause","Waste",IF(AH263="Over target: reduce","Inefficient",IF(AH263="At/under target: scale/hold","Efficient",IF(AND(O263&gt;=1000,Q263=0),"High imp/no click","Data gathering"))))</x:f>
        <x:v>Data gathering</x:v>
      </x:c>
    </x:row>
    <x:row r="264">
      <x:c r="A264" t="s">
        <x:v>22</x:v>
      </x:c>
      <x:c r="B264" t="s">
        <x:v>353</x:v>
      </x:c>
      <x:c r="C264" t="s">
        <x:v>22</x:v>
      </x:c>
      <x:c r="D264" t="s">
        <x:v>24</x:v>
      </x:c>
      <x:c r="E264" t="s">
        <x:v>63</x:v>
      </x:c>
      <x:c r="F264" t="s">
        <x:v>26</x:v>
      </x:c>
      <x:c r="G264" t="s">
        <x:v>27</x:v>
      </x:c>
      <x:c r="H264" t="s">
        <x:v>302</x:v>
      </x:c>
      <x:c r="I264">
        <x:v>14</x:v>
      </x:c>
      <x:c r="L264">
        <x:v>0</x:v>
      </x:c>
      <x:c r="M264">
        <x:v>3</x:v>
      </x:c>
      <x:c r="N264">
        <x:v>3.78</x:v>
      </x:c>
      <x:c r="O264">
        <x:v>104</x:v>
      </x:c>
      <x:c r="P264">
        <x:v>0</x:v>
      </x:c>
      <x:c r="Q264">
        <x:v>0</x:v>
      </x:c>
      <x:c r="R264" s="10">
        <x:v>0</x:v>
      </x:c>
      <x:c r="S264">
        <x:v>0</x:v>
      </x:c>
      <x:c r="T264">
        <x:v>0</x:v>
      </x:c>
      <x:c r="U264" s="10">
        <x:v>0</x:v>
      </x:c>
      <x:c r="W264" s="11" t="n">
        <x:f>Summary!$B$2</x:f>
        <x:v>0.15</x:v>
      </x:c>
      <x:c r="X264" s="11" t="n">
        <x:f>IFERROR(AD264-Summary!$B$2,"")</x:f>
        <x:v>-0.15</x:v>
      </x:c>
      <x:c r="Y264" s="10" t="str">
        <x:f>IFERROR((U264/Q264)*Summary!$B$2,"")</x:f>
      </x:c>
      <x:c r="Z264" s="12" t="n">
        <x:f>IFERROR(Q264/O264,0)</x:f>
        <x:v>0</x:v>
      </x:c>
      <x:c r="AA264" s="12" t="n">
        <x:f>IFERROR(T264/Q264,0)</x:f>
        <x:v>0</x:v>
      </x:c>
      <x:c r="AB264" s="10" t="n">
        <x:f>IFERROR(R264/Q264,0)</x:f>
        <x:v>0</x:v>
      </x:c>
      <x:c r="AC264" s="10" t="n">
        <x:f>IFERROR(U264/R264,0)</x:f>
        <x:v>0</x:v>
      </x:c>
      <x:c r="AD264" s="12" t="n">
        <x:f>IFERROR(R264/U264,0)</x:f>
        <x:v>0</x:v>
      </x:c>
      <x:c r="AE264" s="10" t="n">
        <x:f>IFERROR(U264/Q264,0)</x:f>
        <x:v>0</x:v>
      </x:c>
      <x:c r="AF264" s="10" t="n">
        <x:f>IF(Q264=0,M264,IF(U264=0,IF(Q264&gt;=10,MAX(0.02,M264*0.7),M264),IF(AD264=0,M264,MAX(0.02,IF(AD264&gt;Summary!$B$2,M264*Summary!$B$2/AD264,MIN(M264*1.2,M264*Summary!$B$2/AD264))))))</x:f>
        <x:v>3</x:v>
      </x:c>
      <x:c r="AG264" s="11" t="n">
        <x:f>IFERROR(AF264/M264-1,0)</x:f>
        <x:v>0</x:v>
      </x:c>
      <x:c r="AH264" t="str">
        <x:f>IF(Q264=0,"Need clicks",IF(AND(U264=0,Q264&gt;=10),"No sales: lower/pause",IF(AND(AD264&gt;Summary!$B$2,T264&gt;0),"Over target: reduce",IF(AND(AD264&lt;=Summary!$B$2,T264&gt;0),"At/under target: scale/hold",IF(AND(Q264&gt;0,T264=0),"Collect data","Review")))))</x:f>
        <x:v>Need clicks</x:v>
      </x:c>
      <x:c r="AI264" s="10" t="n">
        <x:f>IFERROR(IF(U264=0,R264,MAX(0,R264-(U264*Summary!$B$2))),0)</x:f>
        <x:v>0</x:v>
      </x:c>
      <x:c r="AJ264" t="str">
        <x:f>IF(AH264="No sales: lower/pause","Waste",IF(AH264="Over target: reduce","Inefficient",IF(AH264="At/under target: scale/hold","Efficient",IF(AND(O264&gt;=1000,Q264=0),"High imp/no click","Data gathering"))))</x:f>
        <x:v>Data gathering</x:v>
      </x:c>
    </x:row>
    <x:row r="265">
      <x:c r="A265" t="s">
        <x:v>22</x:v>
      </x:c>
      <x:c r="B265" t="s">
        <x:v>354</x:v>
      </x:c>
      <x:c r="C265" t="s">
        <x:v>22</x:v>
      </x:c>
      <x:c r="D265" t="s">
        <x:v>24</x:v>
      </x:c>
      <x:c r="E265" t="s">
        <x:v>63</x:v>
      </x:c>
      <x:c r="F265" t="s">
        <x:v>26</x:v>
      </x:c>
      <x:c r="G265" t="s">
        <x:v>27</x:v>
      </x:c>
      <x:c r="H265" t="s">
        <x:v>302</x:v>
      </x:c>
      <x:c r="I265">
        <x:v>14</x:v>
      </x:c>
      <x:c r="L265">
        <x:v>0</x:v>
      </x:c>
      <x:c r="M265">
        <x:v>3</x:v>
      </x:c>
      <x:c r="N265">
        <x:v>3.77</x:v>
      </x:c>
      <x:c r="O265">
        <x:v>64</x:v>
      </x:c>
      <x:c r="P265">
        <x:v>0</x:v>
      </x:c>
      <x:c r="Q265">
        <x:v>0</x:v>
      </x:c>
      <x:c r="R265" s="10">
        <x:v>0</x:v>
      </x:c>
      <x:c r="S265">
        <x:v>0</x:v>
      </x:c>
      <x:c r="T265">
        <x:v>0</x:v>
      </x:c>
      <x:c r="U265" s="10">
        <x:v>0</x:v>
      </x:c>
      <x:c r="W265" s="11" t="n">
        <x:f>Summary!$B$2</x:f>
        <x:v>0.15</x:v>
      </x:c>
      <x:c r="X265" s="11" t="n">
        <x:f>IFERROR(AD265-Summary!$B$2,"")</x:f>
        <x:v>-0.15</x:v>
      </x:c>
      <x:c r="Y265" s="10" t="str">
        <x:f>IFERROR((U265/Q265)*Summary!$B$2,"")</x:f>
      </x:c>
      <x:c r="Z265" s="12" t="n">
        <x:f>IFERROR(Q265/O265,0)</x:f>
        <x:v>0</x:v>
      </x:c>
      <x:c r="AA265" s="12" t="n">
        <x:f>IFERROR(T265/Q265,0)</x:f>
        <x:v>0</x:v>
      </x:c>
      <x:c r="AB265" s="10" t="n">
        <x:f>IFERROR(R265/Q265,0)</x:f>
        <x:v>0</x:v>
      </x:c>
      <x:c r="AC265" s="10" t="n">
        <x:f>IFERROR(U265/R265,0)</x:f>
        <x:v>0</x:v>
      </x:c>
      <x:c r="AD265" s="12" t="n">
        <x:f>IFERROR(R265/U265,0)</x:f>
        <x:v>0</x:v>
      </x:c>
      <x:c r="AE265" s="10" t="n">
        <x:f>IFERROR(U265/Q265,0)</x:f>
        <x:v>0</x:v>
      </x:c>
      <x:c r="AF265" s="10" t="n">
        <x:f>IF(Q265=0,M265,IF(U265=0,IF(Q265&gt;=10,MAX(0.02,M265*0.7),M265),IF(AD265=0,M265,MAX(0.02,IF(AD265&gt;Summary!$B$2,M265*Summary!$B$2/AD265,MIN(M265*1.2,M265*Summary!$B$2/AD265))))))</x:f>
        <x:v>3</x:v>
      </x:c>
      <x:c r="AG265" s="11" t="n">
        <x:f>IFERROR(AF265/M265-1,0)</x:f>
        <x:v>0</x:v>
      </x:c>
      <x:c r="AH265" t="str">
        <x:f>IF(Q265=0,"Need clicks",IF(AND(U265=0,Q265&gt;=10),"No sales: lower/pause",IF(AND(AD265&gt;Summary!$B$2,T265&gt;0),"Over target: reduce",IF(AND(AD265&lt;=Summary!$B$2,T265&gt;0),"At/under target: scale/hold",IF(AND(Q265&gt;0,T265=0),"Collect data","Review")))))</x:f>
        <x:v>Need clicks</x:v>
      </x:c>
      <x:c r="AI265" s="10" t="n">
        <x:f>IFERROR(IF(U265=0,R265,MAX(0,R265-(U265*Summary!$B$2))),0)</x:f>
        <x:v>0</x:v>
      </x:c>
      <x:c r="AJ265" t="str">
        <x:f>IF(AH265="No sales: lower/pause","Waste",IF(AH265="Over target: reduce","Inefficient",IF(AH265="At/under target: scale/hold","Efficient",IF(AND(O265&gt;=1000,Q265=0),"High imp/no click","Data gathering"))))</x:f>
        <x:v>Data gathering</x:v>
      </x:c>
    </x:row>
    <x:row r="266">
      <x:c r="A266" t="s">
        <x:v>22</x:v>
      </x:c>
      <x:c r="B266" t="s">
        <x:v>355</x:v>
      </x:c>
      <x:c r="C266" t="s">
        <x:v>22</x:v>
      </x:c>
      <x:c r="D266" t="s">
        <x:v>24</x:v>
      </x:c>
      <x:c r="E266" t="s">
        <x:v>63</x:v>
      </x:c>
      <x:c r="F266" t="s">
        <x:v>26</x:v>
      </x:c>
      <x:c r="G266" t="s">
        <x:v>27</x:v>
      </x:c>
      <x:c r="H266" t="s">
        <x:v>302</x:v>
      </x:c>
      <x:c r="I266">
        <x:v>14</x:v>
      </x:c>
      <x:c r="L266">
        <x:v>0</x:v>
      </x:c>
      <x:c r="M266">
        <x:v>3</x:v>
      </x:c>
      <x:c r="N266">
        <x:v>3.81</x:v>
      </x:c>
      <x:c r="O266">
        <x:v>7</x:v>
      </x:c>
      <x:c r="P266">
        <x:v>0</x:v>
      </x:c>
      <x:c r="Q266">
        <x:v>0</x:v>
      </x:c>
      <x:c r="R266" s="10">
        <x:v>0</x:v>
      </x:c>
      <x:c r="S266">
        <x:v>0</x:v>
      </x:c>
      <x:c r="T266">
        <x:v>0</x:v>
      </x:c>
      <x:c r="U266" s="10">
        <x:v>0</x:v>
      </x:c>
      <x:c r="W266" s="11" t="n">
        <x:f>Summary!$B$2</x:f>
        <x:v>0.15</x:v>
      </x:c>
      <x:c r="X266" s="11" t="n">
        <x:f>IFERROR(AD266-Summary!$B$2,"")</x:f>
        <x:v>-0.15</x:v>
      </x:c>
      <x:c r="Y266" s="10" t="str">
        <x:f>IFERROR((U266/Q266)*Summary!$B$2,"")</x:f>
      </x:c>
      <x:c r="Z266" s="12" t="n">
        <x:f>IFERROR(Q266/O266,0)</x:f>
        <x:v>0</x:v>
      </x:c>
      <x:c r="AA266" s="12" t="n">
        <x:f>IFERROR(T266/Q266,0)</x:f>
        <x:v>0</x:v>
      </x:c>
      <x:c r="AB266" s="10" t="n">
        <x:f>IFERROR(R266/Q266,0)</x:f>
        <x:v>0</x:v>
      </x:c>
      <x:c r="AC266" s="10" t="n">
        <x:f>IFERROR(U266/R266,0)</x:f>
        <x:v>0</x:v>
      </x:c>
      <x:c r="AD266" s="12" t="n">
        <x:f>IFERROR(R266/U266,0)</x:f>
        <x:v>0</x:v>
      </x:c>
      <x:c r="AE266" s="10" t="n">
        <x:f>IFERROR(U266/Q266,0)</x:f>
        <x:v>0</x:v>
      </x:c>
      <x:c r="AF266" s="10" t="n">
        <x:f>IF(Q266=0,M266,IF(U266=0,IF(Q266&gt;=10,MAX(0.02,M266*0.7),M266),IF(AD266=0,M266,MAX(0.02,IF(AD266&gt;Summary!$B$2,M266*Summary!$B$2/AD266,MIN(M266*1.2,M266*Summary!$B$2/AD266))))))</x:f>
        <x:v>3</x:v>
      </x:c>
      <x:c r="AG266" s="11" t="n">
        <x:f>IFERROR(AF266/M266-1,0)</x:f>
        <x:v>0</x:v>
      </x:c>
      <x:c r="AH266" t="str">
        <x:f>IF(Q266=0,"Need clicks",IF(AND(U266=0,Q266&gt;=10),"No sales: lower/pause",IF(AND(AD266&gt;Summary!$B$2,T266&gt;0),"Over target: reduce",IF(AND(AD266&lt;=Summary!$B$2,T266&gt;0),"At/under target: scale/hold",IF(AND(Q266&gt;0,T266=0),"Collect data","Review")))))</x:f>
        <x:v>Need clicks</x:v>
      </x:c>
      <x:c r="AI266" s="10" t="n">
        <x:f>IFERROR(IF(U266=0,R266,MAX(0,R266-(U266*Summary!$B$2))),0)</x:f>
        <x:v>0</x:v>
      </x:c>
      <x:c r="AJ266" t="str">
        <x:f>IF(AH266="No sales: lower/pause","Waste",IF(AH266="Over target: reduce","Inefficient",IF(AH266="At/under target: scale/hold","Efficient",IF(AND(O266&gt;=1000,Q266=0),"High imp/no click","Data gathering"))))</x:f>
        <x:v>Data gathering</x:v>
      </x:c>
    </x:row>
    <x:row r="267">
      <x:c r="A267" t="s">
        <x:v>22</x:v>
      </x:c>
      <x:c r="B267" t="s">
        <x:v>356</x:v>
      </x:c>
      <x:c r="C267" t="s">
        <x:v>22</x:v>
      </x:c>
      <x:c r="D267" t="s">
        <x:v>24</x:v>
      </x:c>
      <x:c r="E267" t="s">
        <x:v>63</x:v>
      </x:c>
      <x:c r="F267" t="s">
        <x:v>26</x:v>
      </x:c>
      <x:c r="G267" t="s">
        <x:v>27</x:v>
      </x:c>
      <x:c r="H267" t="s">
        <x:v>302</x:v>
      </x:c>
      <x:c r="I267">
        <x:v>14</x:v>
      </x:c>
      <x:c r="L267">
        <x:v>0</x:v>
      </x:c>
      <x:c r="M267">
        <x:v>3</x:v>
      </x:c>
      <x:c r="N267">
        <x:v>2.95</x:v>
      </x:c>
      <x:c r="O267">
        <x:v>65</x:v>
      </x:c>
      <x:c r="P267">
        <x:v>0</x:v>
      </x:c>
      <x:c r="Q267">
        <x:v>0</x:v>
      </x:c>
      <x:c r="R267" s="10">
        <x:v>0</x:v>
      </x:c>
      <x:c r="S267">
        <x:v>0</x:v>
      </x:c>
      <x:c r="T267">
        <x:v>0</x:v>
      </x:c>
      <x:c r="U267" s="10">
        <x:v>0</x:v>
      </x:c>
      <x:c r="W267" s="11" t="n">
        <x:f>Summary!$B$2</x:f>
        <x:v>0.15</x:v>
      </x:c>
      <x:c r="X267" s="11" t="n">
        <x:f>IFERROR(AD267-Summary!$B$2,"")</x:f>
        <x:v>-0.15</x:v>
      </x:c>
      <x:c r="Y267" s="10" t="str">
        <x:f>IFERROR((U267/Q267)*Summary!$B$2,"")</x:f>
      </x:c>
      <x:c r="Z267" s="12" t="n">
        <x:f>IFERROR(Q267/O267,0)</x:f>
        <x:v>0</x:v>
      </x:c>
      <x:c r="AA267" s="12" t="n">
        <x:f>IFERROR(T267/Q267,0)</x:f>
        <x:v>0</x:v>
      </x:c>
      <x:c r="AB267" s="10" t="n">
        <x:f>IFERROR(R267/Q267,0)</x:f>
        <x:v>0</x:v>
      </x:c>
      <x:c r="AC267" s="10" t="n">
        <x:f>IFERROR(U267/R267,0)</x:f>
        <x:v>0</x:v>
      </x:c>
      <x:c r="AD267" s="12" t="n">
        <x:f>IFERROR(R267/U267,0)</x:f>
        <x:v>0</x:v>
      </x:c>
      <x:c r="AE267" s="10" t="n">
        <x:f>IFERROR(U267/Q267,0)</x:f>
        <x:v>0</x:v>
      </x:c>
      <x:c r="AF267" s="10" t="n">
        <x:f>IF(Q267=0,M267,IF(U267=0,IF(Q267&gt;=10,MAX(0.02,M267*0.7),M267),IF(AD267=0,M267,MAX(0.02,IF(AD267&gt;Summary!$B$2,M267*Summary!$B$2/AD267,MIN(M267*1.2,M267*Summary!$B$2/AD267))))))</x:f>
        <x:v>3</x:v>
      </x:c>
      <x:c r="AG267" s="11" t="n">
        <x:f>IFERROR(AF267/M267-1,0)</x:f>
        <x:v>0</x:v>
      </x:c>
      <x:c r="AH267" t="str">
        <x:f>IF(Q267=0,"Need clicks",IF(AND(U267=0,Q267&gt;=10),"No sales: lower/pause",IF(AND(AD267&gt;Summary!$B$2,T267&gt;0),"Over target: reduce",IF(AND(AD267&lt;=Summary!$B$2,T267&gt;0),"At/under target: scale/hold",IF(AND(Q267&gt;0,T267=0),"Collect data","Review")))))</x:f>
        <x:v>Need clicks</x:v>
      </x:c>
      <x:c r="AI267" s="10" t="n">
        <x:f>IFERROR(IF(U267=0,R267,MAX(0,R267-(U267*Summary!$B$2))),0)</x:f>
        <x:v>0</x:v>
      </x:c>
      <x:c r="AJ267" t="str">
        <x:f>IF(AH267="No sales: lower/pause","Waste",IF(AH267="Over target: reduce","Inefficient",IF(AH267="At/under target: scale/hold","Efficient",IF(AND(O267&gt;=1000,Q267=0),"High imp/no click","Data gathering"))))</x:f>
        <x:v>Data gathering</x:v>
      </x:c>
    </x:row>
    <x:row r="268">
      <x:c r="A268" t="s">
        <x:v>22</x:v>
      </x:c>
      <x:c r="B268" t="s">
        <x:v>357</x:v>
      </x:c>
      <x:c r="C268" t="s">
        <x:v>22</x:v>
      </x:c>
      <x:c r="D268" t="s">
        <x:v>24</x:v>
      </x:c>
      <x:c r="E268" t="s">
        <x:v>63</x:v>
      </x:c>
      <x:c r="F268" t="s">
        <x:v>26</x:v>
      </x:c>
      <x:c r="G268" t="s">
        <x:v>27</x:v>
      </x:c>
      <x:c r="H268" t="s">
        <x:v>302</x:v>
      </x:c>
      <x:c r="I268">
        <x:v>14</x:v>
      </x:c>
      <x:c r="L268">
        <x:v>0</x:v>
      </x:c>
      <x:c r="M268">
        <x:v>3</x:v>
      </x:c>
      <x:c r="N268">
        <x:v>3.83</x:v>
      </x:c>
      <x:c r="O268">
        <x:v>154</x:v>
      </x:c>
      <x:c r="P268">
        <x:v>4.8792388387411498E-2</x:v>
      </x:c>
      <x:c r="Q268">
        <x:v>0</x:v>
      </x:c>
      <x:c r="R268" s="10">
        <x:v>0</x:v>
      </x:c>
      <x:c r="S268">
        <x:v>0</x:v>
      </x:c>
      <x:c r="T268">
        <x:v>0</x:v>
      </x:c>
      <x:c r="U268" s="10">
        <x:v>0</x:v>
      </x:c>
      <x:c r="W268" s="11" t="n">
        <x:f>Summary!$B$2</x:f>
        <x:v>0.15</x:v>
      </x:c>
      <x:c r="X268" s="11" t="n">
        <x:f>IFERROR(AD268-Summary!$B$2,"")</x:f>
        <x:v>-0.15</x:v>
      </x:c>
      <x:c r="Y268" s="10" t="str">
        <x:f>IFERROR((U268/Q268)*Summary!$B$2,"")</x:f>
      </x:c>
      <x:c r="Z268" s="12" t="n">
        <x:f>IFERROR(Q268/O268,0)</x:f>
        <x:v>0</x:v>
      </x:c>
      <x:c r="AA268" s="12" t="n">
        <x:f>IFERROR(T268/Q268,0)</x:f>
        <x:v>0</x:v>
      </x:c>
      <x:c r="AB268" s="10" t="n">
        <x:f>IFERROR(R268/Q268,0)</x:f>
        <x:v>0</x:v>
      </x:c>
      <x:c r="AC268" s="10" t="n">
        <x:f>IFERROR(U268/R268,0)</x:f>
        <x:v>0</x:v>
      </x:c>
      <x:c r="AD268" s="12" t="n">
        <x:f>IFERROR(R268/U268,0)</x:f>
        <x:v>0</x:v>
      </x:c>
      <x:c r="AE268" s="10" t="n">
        <x:f>IFERROR(U268/Q268,0)</x:f>
        <x:v>0</x:v>
      </x:c>
      <x:c r="AF268" s="10" t="n">
        <x:f>IF(Q268=0,M268,IF(U268=0,IF(Q268&gt;=10,MAX(0.02,M268*0.7),M268),IF(AD268=0,M268,MAX(0.02,IF(AD268&gt;Summary!$B$2,M268*Summary!$B$2/AD268,MIN(M268*1.2,M268*Summary!$B$2/AD268))))))</x:f>
        <x:v>3</x:v>
      </x:c>
      <x:c r="AG268" s="11" t="n">
        <x:f>IFERROR(AF268/M268-1,0)</x:f>
        <x:v>0</x:v>
      </x:c>
      <x:c r="AH268" t="str">
        <x:f>IF(Q268=0,"Need clicks",IF(AND(U268=0,Q268&gt;=10),"No sales: lower/pause",IF(AND(AD268&gt;Summary!$B$2,T268&gt;0),"Over target: reduce",IF(AND(AD268&lt;=Summary!$B$2,T268&gt;0),"At/under target: scale/hold",IF(AND(Q268&gt;0,T268=0),"Collect data","Review")))))</x:f>
        <x:v>Need clicks</x:v>
      </x:c>
      <x:c r="AI268" s="10" t="n">
        <x:f>IFERROR(IF(U268=0,R268,MAX(0,R268-(U268*Summary!$B$2))),0)</x:f>
        <x:v>0</x:v>
      </x:c>
      <x:c r="AJ268" t="str">
        <x:f>IF(AH268="No sales: lower/pause","Waste",IF(AH268="Over target: reduce","Inefficient",IF(AH268="At/under target: scale/hold","Efficient",IF(AND(O268&gt;=1000,Q268=0),"High imp/no click","Data gathering"))))</x:f>
        <x:v>Data gathering</x:v>
      </x:c>
    </x:row>
    <x:row r="269">
      <x:c r="A269" t="s">
        <x:v>22</x:v>
      </x:c>
      <x:c r="B269" t="s">
        <x:v>358</x:v>
      </x:c>
      <x:c r="C269" t="s">
        <x:v>22</x:v>
      </x:c>
      <x:c r="D269" t="s">
        <x:v>24</x:v>
      </x:c>
      <x:c r="E269" t="s">
        <x:v>63</x:v>
      </x:c>
      <x:c r="F269" t="s">
        <x:v>26</x:v>
      </x:c>
      <x:c r="G269" t="s">
        <x:v>27</x:v>
      </x:c>
      <x:c r="H269" t="s">
        <x:v>302</x:v>
      </x:c>
      <x:c r="I269">
        <x:v>14</x:v>
      </x:c>
      <x:c r="L269">
        <x:v>0</x:v>
      </x:c>
      <x:c r="M269">
        <x:v>3</x:v>
      </x:c>
      <x:c r="N269">
        <x:v>3.78</x:v>
      </x:c>
      <x:c r="O269">
        <x:v>121</x:v>
      </x:c>
      <x:c r="P269">
        <x:v>4.3894302519532904E-3</x:v>
      </x:c>
      <x:c r="Q269">
        <x:v>0</x:v>
      </x:c>
      <x:c r="R269" s="10">
        <x:v>0</x:v>
      </x:c>
      <x:c r="S269">
        <x:v>0</x:v>
      </x:c>
      <x:c r="T269">
        <x:v>0</x:v>
      </x:c>
      <x:c r="U269" s="10">
        <x:v>0</x:v>
      </x:c>
      <x:c r="W269" s="11" t="n">
        <x:f>Summary!$B$2</x:f>
        <x:v>0.15</x:v>
      </x:c>
      <x:c r="X269" s="11" t="n">
        <x:f>IFERROR(AD269-Summary!$B$2,"")</x:f>
        <x:v>-0.15</x:v>
      </x:c>
      <x:c r="Y269" s="10" t="str">
        <x:f>IFERROR((U269/Q269)*Summary!$B$2,"")</x:f>
      </x:c>
      <x:c r="Z269" s="12" t="n">
        <x:f>IFERROR(Q269/O269,0)</x:f>
        <x:v>0</x:v>
      </x:c>
      <x:c r="AA269" s="12" t="n">
        <x:f>IFERROR(T269/Q269,0)</x:f>
        <x:v>0</x:v>
      </x:c>
      <x:c r="AB269" s="10" t="n">
        <x:f>IFERROR(R269/Q269,0)</x:f>
        <x:v>0</x:v>
      </x:c>
      <x:c r="AC269" s="10" t="n">
        <x:f>IFERROR(U269/R269,0)</x:f>
        <x:v>0</x:v>
      </x:c>
      <x:c r="AD269" s="12" t="n">
        <x:f>IFERROR(R269/U269,0)</x:f>
        <x:v>0</x:v>
      </x:c>
      <x:c r="AE269" s="10" t="n">
        <x:f>IFERROR(U269/Q269,0)</x:f>
        <x:v>0</x:v>
      </x:c>
      <x:c r="AF269" s="10" t="n">
        <x:f>IF(Q269=0,M269,IF(U269=0,IF(Q269&gt;=10,MAX(0.02,M269*0.7),M269),IF(AD269=0,M269,MAX(0.02,IF(AD269&gt;Summary!$B$2,M269*Summary!$B$2/AD269,MIN(M269*1.2,M269*Summary!$B$2/AD269))))))</x:f>
        <x:v>3</x:v>
      </x:c>
      <x:c r="AG269" s="11" t="n">
        <x:f>IFERROR(AF269/M269-1,0)</x:f>
        <x:v>0</x:v>
      </x:c>
      <x:c r="AH269" t="str">
        <x:f>IF(Q269=0,"Need clicks",IF(AND(U269=0,Q269&gt;=10),"No sales: lower/pause",IF(AND(AD269&gt;Summary!$B$2,T269&gt;0),"Over target: reduce",IF(AND(AD269&lt;=Summary!$B$2,T269&gt;0),"At/under target: scale/hold",IF(AND(Q269&gt;0,T269=0),"Collect data","Review")))))</x:f>
        <x:v>Need clicks</x:v>
      </x:c>
      <x:c r="AI269" s="10" t="n">
        <x:f>IFERROR(IF(U269=0,R269,MAX(0,R269-(U269*Summary!$B$2))),0)</x:f>
        <x:v>0</x:v>
      </x:c>
      <x:c r="AJ269" t="str">
        <x:f>IF(AH269="No sales: lower/pause","Waste",IF(AH269="Over target: reduce","Inefficient",IF(AH269="At/under target: scale/hold","Efficient",IF(AND(O269&gt;=1000,Q269=0),"High imp/no click","Data gathering"))))</x:f>
        <x:v>Data gathering</x:v>
      </x:c>
    </x:row>
    <x:row r="270">
      <x:c r="A270" t="s">
        <x:v>22</x:v>
      </x:c>
      <x:c r="B270" t="s">
        <x:v>359</x:v>
      </x:c>
      <x:c r="C270" t="s">
        <x:v>22</x:v>
      </x:c>
      <x:c r="D270" t="s">
        <x:v>24</x:v>
      </x:c>
      <x:c r="E270" t="s">
        <x:v>63</x:v>
      </x:c>
      <x:c r="F270" t="s">
        <x:v>26</x:v>
      </x:c>
      <x:c r="G270" t="s">
        <x:v>27</x:v>
      </x:c>
      <x:c r="H270" t="s">
        <x:v>302</x:v>
      </x:c>
      <x:c r="I270">
        <x:v>14</x:v>
      </x:c>
      <x:c r="L270">
        <x:v>0</x:v>
      </x:c>
      <x:c r="M270">
        <x:v>3</x:v>
      </x:c>
      <x:c r="N270">
        <x:v>3.96</x:v>
      </x:c>
      <x:c r="O270">
        <x:v>151</x:v>
      </x:c>
      <x:c r="P270">
        <x:v>2.4144091940702102E-3</x:v>
      </x:c>
      <x:c r="Q270">
        <x:v>0</x:v>
      </x:c>
      <x:c r="R270" s="10">
        <x:v>0</x:v>
      </x:c>
      <x:c r="S270">
        <x:v>0</x:v>
      </x:c>
      <x:c r="T270">
        <x:v>0</x:v>
      </x:c>
      <x:c r="U270" s="10">
        <x:v>0</x:v>
      </x:c>
      <x:c r="W270" s="11" t="n">
        <x:f>Summary!$B$2</x:f>
        <x:v>0.15</x:v>
      </x:c>
      <x:c r="X270" s="11" t="n">
        <x:f>IFERROR(AD270-Summary!$B$2,"")</x:f>
        <x:v>-0.15</x:v>
      </x:c>
      <x:c r="Y270" s="10" t="str">
        <x:f>IFERROR((U270/Q270)*Summary!$B$2,"")</x:f>
      </x:c>
      <x:c r="Z270" s="12" t="n">
        <x:f>IFERROR(Q270/O270,0)</x:f>
        <x:v>0</x:v>
      </x:c>
      <x:c r="AA270" s="12" t="n">
        <x:f>IFERROR(T270/Q270,0)</x:f>
        <x:v>0</x:v>
      </x:c>
      <x:c r="AB270" s="10" t="n">
        <x:f>IFERROR(R270/Q270,0)</x:f>
        <x:v>0</x:v>
      </x:c>
      <x:c r="AC270" s="10" t="n">
        <x:f>IFERROR(U270/R270,0)</x:f>
        <x:v>0</x:v>
      </x:c>
      <x:c r="AD270" s="12" t="n">
        <x:f>IFERROR(R270/U270,0)</x:f>
        <x:v>0</x:v>
      </x:c>
      <x:c r="AE270" s="10" t="n">
        <x:f>IFERROR(U270/Q270,0)</x:f>
        <x:v>0</x:v>
      </x:c>
      <x:c r="AF270" s="10" t="n">
        <x:f>IF(Q270=0,M270,IF(U270=0,IF(Q270&gt;=10,MAX(0.02,M270*0.7),M270),IF(AD270=0,M270,MAX(0.02,IF(AD270&gt;Summary!$B$2,M270*Summary!$B$2/AD270,MIN(M270*1.2,M270*Summary!$B$2/AD270))))))</x:f>
        <x:v>3</x:v>
      </x:c>
      <x:c r="AG270" s="11" t="n">
        <x:f>IFERROR(AF270/M270-1,0)</x:f>
        <x:v>0</x:v>
      </x:c>
      <x:c r="AH270" t="str">
        <x:f>IF(Q270=0,"Need clicks",IF(AND(U270=0,Q270&gt;=10),"No sales: lower/pause",IF(AND(AD270&gt;Summary!$B$2,T270&gt;0),"Over target: reduce",IF(AND(AD270&lt;=Summary!$B$2,T270&gt;0),"At/under target: scale/hold",IF(AND(Q270&gt;0,T270=0),"Collect data","Review")))))</x:f>
        <x:v>Need clicks</x:v>
      </x:c>
      <x:c r="AI270" s="10" t="n">
        <x:f>IFERROR(IF(U270=0,R270,MAX(0,R270-(U270*Summary!$B$2))),0)</x:f>
        <x:v>0</x:v>
      </x:c>
      <x:c r="AJ270" t="str">
        <x:f>IF(AH270="No sales: lower/pause","Waste",IF(AH270="Over target: reduce","Inefficient",IF(AH270="At/under target: scale/hold","Efficient",IF(AND(O270&gt;=1000,Q270=0),"High imp/no click","Data gathering"))))</x:f>
        <x:v>Data gathering</x:v>
      </x:c>
    </x:row>
    <x:row r="271">
      <x:c r="A271" t="s">
        <x:v>22</x:v>
      </x:c>
      <x:c r="B271" t="s">
        <x:v>359</x:v>
      </x:c>
      <x:c r="C271" t="s">
        <x:v>22</x:v>
      </x:c>
      <x:c r="D271" t="s">
        <x:v>218</x:v>
      </x:c>
      <x:c r="E271" t="s">
        <x:v>63</x:v>
      </x:c>
      <x:c r="F271" t="s">
        <x:v>26</x:v>
      </x:c>
      <x:c r="G271" t="s">
        <x:v>27</x:v>
      </x:c>
      <x:c r="H271" t="s">
        <x:v>302</x:v>
      </x:c>
      <x:c r="I271">
        <x:v>14</x:v>
      </x:c>
      <x:c r="L271">
        <x:v>0</x:v>
      </x:c>
      <x:c r="M271">
        <x:v>3</x:v>
      </x:c>
      <x:c r="N271">
        <x:v>3.98</x:v>
      </x:c>
      <x:c r="O271">
        <x:v>20</x:v>
      </x:c>
      <x:c r="P271">
        <x:v>1.6</x:v>
      </x:c>
      <x:c r="Q271">
        <x:v>0</x:v>
      </x:c>
      <x:c r="R271" s="10">
        <x:v>0</x:v>
      </x:c>
      <x:c r="S271">
        <x:v>0</x:v>
      </x:c>
      <x:c r="T271">
        <x:v>0</x:v>
      </x:c>
      <x:c r="U271" s="10">
        <x:v>0</x:v>
      </x:c>
      <x:c r="W271" s="11" t="n">
        <x:f>Summary!$B$2</x:f>
        <x:v>0.15</x:v>
      </x:c>
      <x:c r="X271" s="11" t="n">
        <x:f>IFERROR(AD271-Summary!$B$2,"")</x:f>
        <x:v>-0.15</x:v>
      </x:c>
      <x:c r="Y271" s="10" t="str">
        <x:f>IFERROR((U271/Q271)*Summary!$B$2,"")</x:f>
      </x:c>
      <x:c r="Z271" s="12" t="n">
        <x:f>IFERROR(Q271/O271,0)</x:f>
        <x:v>0</x:v>
      </x:c>
      <x:c r="AA271" s="12" t="n">
        <x:f>IFERROR(T271/Q271,0)</x:f>
        <x:v>0</x:v>
      </x:c>
      <x:c r="AB271" s="10" t="n">
        <x:f>IFERROR(R271/Q271,0)</x:f>
        <x:v>0</x:v>
      </x:c>
      <x:c r="AC271" s="10" t="n">
        <x:f>IFERROR(U271/R271,0)</x:f>
        <x:v>0</x:v>
      </x:c>
      <x:c r="AD271" s="12" t="n">
        <x:f>IFERROR(R271/U271,0)</x:f>
        <x:v>0</x:v>
      </x:c>
      <x:c r="AE271" s="10" t="n">
        <x:f>IFERROR(U271/Q271,0)</x:f>
        <x:v>0</x:v>
      </x:c>
      <x:c r="AF271" s="10" t="n">
        <x:f>IF(Q271=0,M271,IF(U271=0,IF(Q271&gt;=10,MAX(0.02,M271*0.7),M271),IF(AD271=0,M271,MAX(0.02,IF(AD271&gt;Summary!$B$2,M271*Summary!$B$2/AD271,MIN(M271*1.2,M271*Summary!$B$2/AD271))))))</x:f>
        <x:v>3</x:v>
      </x:c>
      <x:c r="AG271" s="11" t="n">
        <x:f>IFERROR(AF271/M271-1,0)</x:f>
        <x:v>0</x:v>
      </x:c>
      <x:c r="AH271" t="str">
        <x:f>IF(Q271=0,"Need clicks",IF(AND(U271=0,Q271&gt;=10),"No sales: lower/pause",IF(AND(AD271&gt;Summary!$B$2,T271&gt;0),"Over target: reduce",IF(AND(AD271&lt;=Summary!$B$2,T271&gt;0),"At/under target: scale/hold",IF(AND(Q271&gt;0,T271=0),"Collect data","Review")))))</x:f>
        <x:v>Need clicks</x:v>
      </x:c>
      <x:c r="AI271" s="10" t="n">
        <x:f>IFERROR(IF(U271=0,R271,MAX(0,R271-(U271*Summary!$B$2))),0)</x:f>
        <x:v>0</x:v>
      </x:c>
      <x:c r="AJ271" t="str">
        <x:f>IF(AH271="No sales: lower/pause","Waste",IF(AH271="Over target: reduce","Inefficient",IF(AH271="At/under target: scale/hold","Efficient",IF(AND(O271&gt;=1000,Q271=0),"High imp/no click","Data gathering"))))</x:f>
        <x:v>Data gathering</x:v>
      </x:c>
    </x:row>
    <x:row r="272">
      <x:c r="A272" t="s">
        <x:v>22</x:v>
      </x:c>
      <x:c r="B272" t="s">
        <x:v>360</x:v>
      </x:c>
      <x:c r="C272" t="s">
        <x:v>22</x:v>
      </x:c>
      <x:c r="D272" t="s">
        <x:v>24</x:v>
      </x:c>
      <x:c r="E272" t="s">
        <x:v>63</x:v>
      </x:c>
      <x:c r="F272" t="s">
        <x:v>26</x:v>
      </x:c>
      <x:c r="G272" t="s">
        <x:v>27</x:v>
      </x:c>
      <x:c r="H272" t="s">
        <x:v>302</x:v>
      </x:c>
      <x:c r="I272">
        <x:v>14</x:v>
      </x:c>
      <x:c r="L272">
        <x:v>0</x:v>
      </x:c>
      <x:c r="M272">
        <x:v>3</x:v>
      </x:c>
      <x:c r="N272">
        <x:v>3.83</x:v>
      </x:c>
      <x:c r="O272">
        <x:v>84</x:v>
      </x:c>
      <x:c r="P272">
        <x:v>4.3079309007883499E-3</x:v>
      </x:c>
      <x:c r="Q272">
        <x:v>0</x:v>
      </x:c>
      <x:c r="R272" s="10">
        <x:v>0</x:v>
      </x:c>
      <x:c r="S272">
        <x:v>0</x:v>
      </x:c>
      <x:c r="T272">
        <x:v>0</x:v>
      </x:c>
      <x:c r="U272" s="10">
        <x:v>0</x:v>
      </x:c>
      <x:c r="W272" s="11" t="n">
        <x:f>Summary!$B$2</x:f>
        <x:v>0.15</x:v>
      </x:c>
      <x:c r="X272" s="11" t="n">
        <x:f>IFERROR(AD272-Summary!$B$2,"")</x:f>
        <x:v>-0.15</x:v>
      </x:c>
      <x:c r="Y272" s="10" t="str">
        <x:f>IFERROR((U272/Q272)*Summary!$B$2,"")</x:f>
      </x:c>
      <x:c r="Z272" s="12" t="n">
        <x:f>IFERROR(Q272/O272,0)</x:f>
        <x:v>0</x:v>
      </x:c>
      <x:c r="AA272" s="12" t="n">
        <x:f>IFERROR(T272/Q272,0)</x:f>
        <x:v>0</x:v>
      </x:c>
      <x:c r="AB272" s="10" t="n">
        <x:f>IFERROR(R272/Q272,0)</x:f>
        <x:v>0</x:v>
      </x:c>
      <x:c r="AC272" s="10" t="n">
        <x:f>IFERROR(U272/R272,0)</x:f>
        <x:v>0</x:v>
      </x:c>
      <x:c r="AD272" s="12" t="n">
        <x:f>IFERROR(R272/U272,0)</x:f>
        <x:v>0</x:v>
      </x:c>
      <x:c r="AE272" s="10" t="n">
        <x:f>IFERROR(U272/Q272,0)</x:f>
        <x:v>0</x:v>
      </x:c>
      <x:c r="AF272" s="10" t="n">
        <x:f>IF(Q272=0,M272,IF(U272=0,IF(Q272&gt;=10,MAX(0.02,M272*0.7),M272),IF(AD272=0,M272,MAX(0.02,IF(AD272&gt;Summary!$B$2,M272*Summary!$B$2/AD272,MIN(M272*1.2,M272*Summary!$B$2/AD272))))))</x:f>
        <x:v>3</x:v>
      </x:c>
      <x:c r="AG272" s="11" t="n">
        <x:f>IFERROR(AF272/M272-1,0)</x:f>
        <x:v>0</x:v>
      </x:c>
      <x:c r="AH272" t="str">
        <x:f>IF(Q272=0,"Need clicks",IF(AND(U272=0,Q272&gt;=10),"No sales: lower/pause",IF(AND(AD272&gt;Summary!$B$2,T272&gt;0),"Over target: reduce",IF(AND(AD272&lt;=Summary!$B$2,T272&gt;0),"At/under target: scale/hold",IF(AND(Q272&gt;0,T272=0),"Collect data","Review")))))</x:f>
        <x:v>Need clicks</x:v>
      </x:c>
      <x:c r="AI272" s="10" t="n">
        <x:f>IFERROR(IF(U272=0,R272,MAX(0,R272-(U272*Summary!$B$2))),0)</x:f>
        <x:v>0</x:v>
      </x:c>
      <x:c r="AJ272" t="str">
        <x:f>IF(AH272="No sales: lower/pause","Waste",IF(AH272="Over target: reduce","Inefficient",IF(AH272="At/under target: scale/hold","Efficient",IF(AND(O272&gt;=1000,Q272=0),"High imp/no click","Data gathering"))))</x:f>
        <x:v>Data gathering</x:v>
      </x:c>
    </x:row>
    <x:row r="273">
      <x:c r="A273" t="s">
        <x:v>22</x:v>
      </x:c>
      <x:c r="B273" t="s">
        <x:v>361</x:v>
      </x:c>
      <x:c r="C273" t="s">
        <x:v>22</x:v>
      </x:c>
      <x:c r="D273" t="s">
        <x:v>218</x:v>
      </x:c>
      <x:c r="E273" t="s">
        <x:v>63</x:v>
      </x:c>
      <x:c r="F273" t="s">
        <x:v>26</x:v>
      </x:c>
      <x:c r="G273" t="s">
        <x:v>27</x:v>
      </x:c>
      <x:c r="H273" t="s">
        <x:v>302</x:v>
      </x:c>
      <x:c r="I273">
        <x:v>14</x:v>
      </x:c>
      <x:c r="L273">
        <x:v>0</x:v>
      </x:c>
      <x:c r="M273">
        <x:v>3</x:v>
      </x:c>
      <x:c r="N273">
        <x:v>3.43</x:v>
      </x:c>
      <x:c r="O273">
        <x:v>55</x:v>
      </x:c>
      <x:c r="P273">
        <x:v>5.4585152838427901E-2</x:v>
      </x:c>
      <x:c r="Q273">
        <x:v>0</x:v>
      </x:c>
      <x:c r="R273" s="10">
        <x:v>0</x:v>
      </x:c>
      <x:c r="S273">
        <x:v>0</x:v>
      </x:c>
      <x:c r="T273">
        <x:v>0</x:v>
      </x:c>
      <x:c r="U273" s="10">
        <x:v>0</x:v>
      </x:c>
      <x:c r="W273" s="11" t="n">
        <x:f>Summary!$B$2</x:f>
        <x:v>0.15</x:v>
      </x:c>
      <x:c r="X273" s="11" t="n">
        <x:f>IFERROR(AD273-Summary!$B$2,"")</x:f>
        <x:v>-0.15</x:v>
      </x:c>
      <x:c r="Y273" s="10" t="str">
        <x:f>IFERROR((U273/Q273)*Summary!$B$2,"")</x:f>
      </x:c>
      <x:c r="Z273" s="12" t="n">
        <x:f>IFERROR(Q273/O273,0)</x:f>
        <x:v>0</x:v>
      </x:c>
      <x:c r="AA273" s="12" t="n">
        <x:f>IFERROR(T273/Q273,0)</x:f>
        <x:v>0</x:v>
      </x:c>
      <x:c r="AB273" s="10" t="n">
        <x:f>IFERROR(R273/Q273,0)</x:f>
        <x:v>0</x:v>
      </x:c>
      <x:c r="AC273" s="10" t="n">
        <x:f>IFERROR(U273/R273,0)</x:f>
        <x:v>0</x:v>
      </x:c>
      <x:c r="AD273" s="12" t="n">
        <x:f>IFERROR(R273/U273,0)</x:f>
        <x:v>0</x:v>
      </x:c>
      <x:c r="AE273" s="10" t="n">
        <x:f>IFERROR(U273/Q273,0)</x:f>
        <x:v>0</x:v>
      </x:c>
      <x:c r="AF273" s="10" t="n">
        <x:f>IF(Q273=0,M273,IF(U273=0,IF(Q273&gt;=10,MAX(0.02,M273*0.7),M273),IF(AD273=0,M273,MAX(0.02,IF(AD273&gt;Summary!$B$2,M273*Summary!$B$2/AD273,MIN(M273*1.2,M273*Summary!$B$2/AD273))))))</x:f>
        <x:v>3</x:v>
      </x:c>
      <x:c r="AG273" s="11" t="n">
        <x:f>IFERROR(AF273/M273-1,0)</x:f>
        <x:v>0</x:v>
      </x:c>
      <x:c r="AH273" t="str">
        <x:f>IF(Q273=0,"Need clicks",IF(AND(U273=0,Q273&gt;=10),"No sales: lower/pause",IF(AND(AD273&gt;Summary!$B$2,T273&gt;0),"Over target: reduce",IF(AND(AD273&lt;=Summary!$B$2,T273&gt;0),"At/under target: scale/hold",IF(AND(Q273&gt;0,T273=0),"Collect data","Review")))))</x:f>
        <x:v>Need clicks</x:v>
      </x:c>
      <x:c r="AI273" s="10" t="n">
        <x:f>IFERROR(IF(U273=0,R273,MAX(0,R273-(U273*Summary!$B$2))),0)</x:f>
        <x:v>0</x:v>
      </x:c>
      <x:c r="AJ273" t="str">
        <x:f>IF(AH273="No sales: lower/pause","Waste",IF(AH273="Over target: reduce","Inefficient",IF(AH273="At/under target: scale/hold","Efficient",IF(AND(O273&gt;=1000,Q273=0),"High imp/no click","Data gathering"))))</x:f>
        <x:v>Data gathering</x:v>
      </x:c>
    </x:row>
    <x:row r="274">
      <x:c r="A274" t="s">
        <x:v>22</x:v>
      </x:c>
      <x:c r="B274" t="s">
        <x:v>362</x:v>
      </x:c>
      <x:c r="C274" t="s">
        <x:v>22</x:v>
      </x:c>
      <x:c r="D274" t="s">
        <x:v>24</x:v>
      </x:c>
      <x:c r="E274" t="s">
        <x:v>63</x:v>
      </x:c>
      <x:c r="F274" t="s">
        <x:v>26</x:v>
      </x:c>
      <x:c r="G274" t="s">
        <x:v>27</x:v>
      </x:c>
      <x:c r="H274" t="s">
        <x:v>302</x:v>
      </x:c>
      <x:c r="I274">
        <x:v>14</x:v>
      </x:c>
      <x:c r="L274">
        <x:v>0</x:v>
      </x:c>
      <x:c r="M274">
        <x:v>3</x:v>
      </x:c>
      <x:c r="N274">
        <x:v>3.67</x:v>
      </x:c>
      <x:c r="O274">
        <x:v>193</x:v>
      </x:c>
      <x:c r="P274">
        <x:v>1.2774655084312699E-3</x:v>
      </x:c>
      <x:c r="Q274">
        <x:v>0</x:v>
      </x:c>
      <x:c r="R274" s="10">
        <x:v>0</x:v>
      </x:c>
      <x:c r="S274">
        <x:v>0</x:v>
      </x:c>
      <x:c r="T274">
        <x:v>0</x:v>
      </x:c>
      <x:c r="U274" s="10">
        <x:v>0</x:v>
      </x:c>
      <x:c r="W274" s="11" t="n">
        <x:f>Summary!$B$2</x:f>
        <x:v>0.15</x:v>
      </x:c>
      <x:c r="X274" s="11" t="n">
        <x:f>IFERROR(AD274-Summary!$B$2,"")</x:f>
        <x:v>-0.15</x:v>
      </x:c>
      <x:c r="Y274" s="10" t="str">
        <x:f>IFERROR((U274/Q274)*Summary!$B$2,"")</x:f>
      </x:c>
      <x:c r="Z274" s="12" t="n">
        <x:f>IFERROR(Q274/O274,0)</x:f>
        <x:v>0</x:v>
      </x:c>
      <x:c r="AA274" s="12" t="n">
        <x:f>IFERROR(T274/Q274,0)</x:f>
        <x:v>0</x:v>
      </x:c>
      <x:c r="AB274" s="10" t="n">
        <x:f>IFERROR(R274/Q274,0)</x:f>
        <x:v>0</x:v>
      </x:c>
      <x:c r="AC274" s="10" t="n">
        <x:f>IFERROR(U274/R274,0)</x:f>
        <x:v>0</x:v>
      </x:c>
      <x:c r="AD274" s="12" t="n">
        <x:f>IFERROR(R274/U274,0)</x:f>
        <x:v>0</x:v>
      </x:c>
      <x:c r="AE274" s="10" t="n">
        <x:f>IFERROR(U274/Q274,0)</x:f>
        <x:v>0</x:v>
      </x:c>
      <x:c r="AF274" s="10" t="n">
        <x:f>IF(Q274=0,M274,IF(U274=0,IF(Q274&gt;=10,MAX(0.02,M274*0.7),M274),IF(AD274=0,M274,MAX(0.02,IF(AD274&gt;Summary!$B$2,M274*Summary!$B$2/AD274,MIN(M274*1.2,M274*Summary!$B$2/AD274))))))</x:f>
        <x:v>3</x:v>
      </x:c>
      <x:c r="AG274" s="11" t="n">
        <x:f>IFERROR(AF274/M274-1,0)</x:f>
        <x:v>0</x:v>
      </x:c>
      <x:c r="AH274" t="str">
        <x:f>IF(Q274=0,"Need clicks",IF(AND(U274=0,Q274&gt;=10),"No sales: lower/pause",IF(AND(AD274&gt;Summary!$B$2,T274&gt;0),"Over target: reduce",IF(AND(AD274&lt;=Summary!$B$2,T274&gt;0),"At/under target: scale/hold",IF(AND(Q274&gt;0,T274=0),"Collect data","Review")))))</x:f>
        <x:v>Need clicks</x:v>
      </x:c>
      <x:c r="AI274" s="10" t="n">
        <x:f>IFERROR(IF(U274=0,R274,MAX(0,R274-(U274*Summary!$B$2))),0)</x:f>
        <x:v>0</x:v>
      </x:c>
      <x:c r="AJ274" t="str">
        <x:f>IF(AH274="No sales: lower/pause","Waste",IF(AH274="Over target: reduce","Inefficient",IF(AH274="At/under target: scale/hold","Efficient",IF(AND(O274&gt;=1000,Q274=0),"High imp/no click","Data gathering"))))</x:f>
        <x:v>Data gathering</x:v>
      </x:c>
    </x:row>
    <x:row r="275">
      <x:c r="A275" t="s">
        <x:v>22</x:v>
      </x:c>
      <x:c r="B275" t="s">
        <x:v>363</x:v>
      </x:c>
      <x:c r="C275" t="s">
        <x:v>22</x:v>
      </x:c>
      <x:c r="D275" t="s">
        <x:v>24</x:v>
      </x:c>
      <x:c r="E275" t="s">
        <x:v>63</x:v>
      </x:c>
      <x:c r="F275" t="s">
        <x:v>26</x:v>
      </x:c>
      <x:c r="G275" t="s">
        <x:v>27</x:v>
      </x:c>
      <x:c r="H275" t="s">
        <x:v>302</x:v>
      </x:c>
      <x:c r="I275">
        <x:v>14</x:v>
      </x:c>
      <x:c r="L275">
        <x:v>0</x:v>
      </x:c>
      <x:c r="M275">
        <x:v>3</x:v>
      </x:c>
      <x:c r="N275">
        <x:v>3.09</x:v>
      </x:c>
      <x:c r="O275">
        <x:v>11</x:v>
      </x:c>
      <x:c r="P275" s="1" t="s">
        <x:v>364</x:v>
      </x:c>
      <x:c r="Q275">
        <x:v>0</x:v>
      </x:c>
      <x:c r="R275" s="10">
        <x:v>0</x:v>
      </x:c>
      <x:c r="S275">
        <x:v>0</x:v>
      </x:c>
      <x:c r="T275">
        <x:v>0</x:v>
      </x:c>
      <x:c r="U275" s="10">
        <x:v>0</x:v>
      </x:c>
      <x:c r="W275" s="11" t="n">
        <x:f>Summary!$B$2</x:f>
        <x:v>0.15</x:v>
      </x:c>
      <x:c r="X275" s="11" t="n">
        <x:f>IFERROR(AD275-Summary!$B$2,"")</x:f>
        <x:v>-0.15</x:v>
      </x:c>
      <x:c r="Y275" s="10" t="str">
        <x:f>IFERROR((U275/Q275)*Summary!$B$2,"")</x:f>
      </x:c>
      <x:c r="Z275" s="12" t="n">
        <x:f>IFERROR(Q275/O275,0)</x:f>
        <x:v>0</x:v>
      </x:c>
      <x:c r="AA275" s="12" t="n">
        <x:f>IFERROR(T275/Q275,0)</x:f>
        <x:v>0</x:v>
      </x:c>
      <x:c r="AB275" s="10" t="n">
        <x:f>IFERROR(R275/Q275,0)</x:f>
        <x:v>0</x:v>
      </x:c>
      <x:c r="AC275" s="10" t="n">
        <x:f>IFERROR(U275/R275,0)</x:f>
        <x:v>0</x:v>
      </x:c>
      <x:c r="AD275" s="12" t="n">
        <x:f>IFERROR(R275/U275,0)</x:f>
        <x:v>0</x:v>
      </x:c>
      <x:c r="AE275" s="10" t="n">
        <x:f>IFERROR(U275/Q275,0)</x:f>
        <x:v>0</x:v>
      </x:c>
      <x:c r="AF275" s="10" t="n">
        <x:f>IF(Q275=0,M275,IF(U275=0,IF(Q275&gt;=10,MAX(0.02,M275*0.7),M275),IF(AD275=0,M275,MAX(0.02,IF(AD275&gt;Summary!$B$2,M275*Summary!$B$2/AD275,MIN(M275*1.2,M275*Summary!$B$2/AD275))))))</x:f>
        <x:v>3</x:v>
      </x:c>
      <x:c r="AG275" s="11" t="n">
        <x:f>IFERROR(AF275/M275-1,0)</x:f>
        <x:v>0</x:v>
      </x:c>
      <x:c r="AH275" t="str">
        <x:f>IF(Q275=0,"Need clicks",IF(AND(U275=0,Q275&gt;=10),"No sales: lower/pause",IF(AND(AD275&gt;Summary!$B$2,T275&gt;0),"Over target: reduce",IF(AND(AD275&lt;=Summary!$B$2,T275&gt;0),"At/under target: scale/hold",IF(AND(Q275&gt;0,T275=0),"Collect data","Review")))))</x:f>
        <x:v>Need clicks</x:v>
      </x:c>
      <x:c r="AI275" s="10" t="n">
        <x:f>IFERROR(IF(U275=0,R275,MAX(0,R275-(U275*Summary!$B$2))),0)</x:f>
        <x:v>0</x:v>
      </x:c>
      <x:c r="AJ275" t="str">
        <x:f>IF(AH275="No sales: lower/pause","Waste",IF(AH275="Over target: reduce","Inefficient",IF(AH275="At/under target: scale/hold","Efficient",IF(AND(O275&gt;=1000,Q275=0),"High imp/no click","Data gathering"))))</x:f>
        <x:v>Data gathering</x:v>
      </x:c>
    </x:row>
    <x:row r="276">
      <x:c r="A276" t="s">
        <x:v>22</x:v>
      </x:c>
      <x:c r="B276" t="s">
        <x:v>365</x:v>
      </x:c>
      <x:c r="C276" t="s">
        <x:v>22</x:v>
      </x:c>
      <x:c r="D276" t="s">
        <x:v>24</x:v>
      </x:c>
      <x:c r="E276" t="s">
        <x:v>63</x:v>
      </x:c>
      <x:c r="F276" t="s">
        <x:v>26</x:v>
      </x:c>
      <x:c r="G276" t="s">
        <x:v>27</x:v>
      </x:c>
      <x:c r="H276" t="s">
        <x:v>302</x:v>
      </x:c>
      <x:c r="I276">
        <x:v>14</x:v>
      </x:c>
      <x:c r="L276">
        <x:v>0</x:v>
      </x:c>
      <x:c r="M276">
        <x:v>3</x:v>
      </x:c>
      <x:c r="N276">
        <x:v>3.02</x:v>
      </x:c>
      <x:c r="O276">
        <x:v>19</x:v>
      </x:c>
      <x:c r="P276">
        <x:v>0</x:v>
      </x:c>
      <x:c r="Q276">
        <x:v>0</x:v>
      </x:c>
      <x:c r="R276" s="10">
        <x:v>0</x:v>
      </x:c>
      <x:c r="S276">
        <x:v>0</x:v>
      </x:c>
      <x:c r="T276">
        <x:v>0</x:v>
      </x:c>
      <x:c r="U276" s="10">
        <x:v>0</x:v>
      </x:c>
      <x:c r="W276" s="11" t="n">
        <x:f>Summary!$B$2</x:f>
        <x:v>0.15</x:v>
      </x:c>
      <x:c r="X276" s="11" t="n">
        <x:f>IFERROR(AD276-Summary!$B$2,"")</x:f>
        <x:v>-0.15</x:v>
      </x:c>
      <x:c r="Y276" s="10" t="str">
        <x:f>IFERROR((U276/Q276)*Summary!$B$2,"")</x:f>
      </x:c>
      <x:c r="Z276" s="12" t="n">
        <x:f>IFERROR(Q276/O276,0)</x:f>
        <x:v>0</x:v>
      </x:c>
      <x:c r="AA276" s="12" t="n">
        <x:f>IFERROR(T276/Q276,0)</x:f>
        <x:v>0</x:v>
      </x:c>
      <x:c r="AB276" s="10" t="n">
        <x:f>IFERROR(R276/Q276,0)</x:f>
        <x:v>0</x:v>
      </x:c>
      <x:c r="AC276" s="10" t="n">
        <x:f>IFERROR(U276/R276,0)</x:f>
        <x:v>0</x:v>
      </x:c>
      <x:c r="AD276" s="12" t="n">
        <x:f>IFERROR(R276/U276,0)</x:f>
        <x:v>0</x:v>
      </x:c>
      <x:c r="AE276" s="10" t="n">
        <x:f>IFERROR(U276/Q276,0)</x:f>
        <x:v>0</x:v>
      </x:c>
      <x:c r="AF276" s="10" t="n">
        <x:f>IF(Q276=0,M276,IF(U276=0,IF(Q276&gt;=10,MAX(0.02,M276*0.7),M276),IF(AD276=0,M276,MAX(0.02,IF(AD276&gt;Summary!$B$2,M276*Summary!$B$2/AD276,MIN(M276*1.2,M276*Summary!$B$2/AD276))))))</x:f>
        <x:v>3</x:v>
      </x:c>
      <x:c r="AG276" s="11" t="n">
        <x:f>IFERROR(AF276/M276-1,0)</x:f>
        <x:v>0</x:v>
      </x:c>
      <x:c r="AH276" t="str">
        <x:f>IF(Q276=0,"Need clicks",IF(AND(U276=0,Q276&gt;=10),"No sales: lower/pause",IF(AND(AD276&gt;Summary!$B$2,T276&gt;0),"Over target: reduce",IF(AND(AD276&lt;=Summary!$B$2,T276&gt;0),"At/under target: scale/hold",IF(AND(Q276&gt;0,T276=0),"Collect data","Review")))))</x:f>
        <x:v>Need clicks</x:v>
      </x:c>
      <x:c r="AI276" s="10" t="n">
        <x:f>IFERROR(IF(U276=0,R276,MAX(0,R276-(U276*Summary!$B$2))),0)</x:f>
        <x:v>0</x:v>
      </x:c>
      <x:c r="AJ276" t="str">
        <x:f>IF(AH276="No sales: lower/pause","Waste",IF(AH276="Over target: reduce","Inefficient",IF(AH276="At/under target: scale/hold","Efficient",IF(AND(O276&gt;=1000,Q276=0),"High imp/no click","Data gathering"))))</x:f>
        <x:v>Data gathering</x:v>
      </x:c>
    </x:row>
    <x:row r="277">
      <x:c r="A277" t="s">
        <x:v>22</x:v>
      </x:c>
      <x:c r="B277" t="s">
        <x:v>366</x:v>
      </x:c>
      <x:c r="C277" t="s">
        <x:v>22</x:v>
      </x:c>
      <x:c r="D277" t="s">
        <x:v>24</x:v>
      </x:c>
      <x:c r="E277" t="s">
        <x:v>63</x:v>
      </x:c>
      <x:c r="F277" t="s">
        <x:v>26</x:v>
      </x:c>
      <x:c r="G277" t="s">
        <x:v>27</x:v>
      </x:c>
      <x:c r="H277" t="s">
        <x:v>302</x:v>
      </x:c>
      <x:c r="I277">
        <x:v>14</x:v>
      </x:c>
      <x:c r="L277">
        <x:v>0</x:v>
      </x:c>
      <x:c r="M277">
        <x:v>3</x:v>
      </x:c>
      <x:c r="N277">
        <x:v>3.83</x:v>
      </x:c>
      <x:c r="O277">
        <x:v>4</x:v>
      </x:c>
      <x:c r="P277">
        <x:v>0</x:v>
      </x:c>
      <x:c r="Q277">
        <x:v>0</x:v>
      </x:c>
      <x:c r="R277" s="10">
        <x:v>0</x:v>
      </x:c>
      <x:c r="S277">
        <x:v>0</x:v>
      </x:c>
      <x:c r="T277">
        <x:v>0</x:v>
      </x:c>
      <x:c r="U277" s="10">
        <x:v>0</x:v>
      </x:c>
      <x:c r="W277" s="11" t="n">
        <x:f>Summary!$B$2</x:f>
        <x:v>0.15</x:v>
      </x:c>
      <x:c r="X277" s="11" t="n">
        <x:f>IFERROR(AD277-Summary!$B$2,"")</x:f>
        <x:v>-0.15</x:v>
      </x:c>
      <x:c r="Y277" s="10" t="str">
        <x:f>IFERROR((U277/Q277)*Summary!$B$2,"")</x:f>
      </x:c>
      <x:c r="Z277" s="12" t="n">
        <x:f>IFERROR(Q277/O277,0)</x:f>
        <x:v>0</x:v>
      </x:c>
      <x:c r="AA277" s="12" t="n">
        <x:f>IFERROR(T277/Q277,0)</x:f>
        <x:v>0</x:v>
      </x:c>
      <x:c r="AB277" s="10" t="n">
        <x:f>IFERROR(R277/Q277,0)</x:f>
        <x:v>0</x:v>
      </x:c>
      <x:c r="AC277" s="10" t="n">
        <x:f>IFERROR(U277/R277,0)</x:f>
        <x:v>0</x:v>
      </x:c>
      <x:c r="AD277" s="12" t="n">
        <x:f>IFERROR(R277/U277,0)</x:f>
        <x:v>0</x:v>
      </x:c>
      <x:c r="AE277" s="10" t="n">
        <x:f>IFERROR(U277/Q277,0)</x:f>
        <x:v>0</x:v>
      </x:c>
      <x:c r="AF277" s="10" t="n">
        <x:f>IF(Q277=0,M277,IF(U277=0,IF(Q277&gt;=10,MAX(0.02,M277*0.7),M277),IF(AD277=0,M277,MAX(0.02,IF(AD277&gt;Summary!$B$2,M277*Summary!$B$2/AD277,MIN(M277*1.2,M277*Summary!$B$2/AD277))))))</x:f>
        <x:v>3</x:v>
      </x:c>
      <x:c r="AG277" s="11" t="n">
        <x:f>IFERROR(AF277/M277-1,0)</x:f>
        <x:v>0</x:v>
      </x:c>
      <x:c r="AH277" t="str">
        <x:f>IF(Q277=0,"Need clicks",IF(AND(U277=0,Q277&gt;=10),"No sales: lower/pause",IF(AND(AD277&gt;Summary!$B$2,T277&gt;0),"Over target: reduce",IF(AND(AD277&lt;=Summary!$B$2,T277&gt;0),"At/under target: scale/hold",IF(AND(Q277&gt;0,T277=0),"Collect data","Review")))))</x:f>
        <x:v>Need clicks</x:v>
      </x:c>
      <x:c r="AI277" s="10" t="n">
        <x:f>IFERROR(IF(U277=0,R277,MAX(0,R277-(U277*Summary!$B$2))),0)</x:f>
        <x:v>0</x:v>
      </x:c>
      <x:c r="AJ277" t="str">
        <x:f>IF(AH277="No sales: lower/pause","Waste",IF(AH277="Over target: reduce","Inefficient",IF(AH277="At/under target: scale/hold","Efficient",IF(AND(O277&gt;=1000,Q277=0),"High imp/no click","Data gathering"))))</x:f>
        <x:v>Data gathering</x:v>
      </x:c>
    </x:row>
    <x:row r="278">
      <x:c r="A278" t="s">
        <x:v>22</x:v>
      </x:c>
      <x:c r="B278" t="s">
        <x:v>366</x:v>
      </x:c>
      <x:c r="C278" t="s">
        <x:v>22</x:v>
      </x:c>
      <x:c r="D278" t="s">
        <x:v>218</x:v>
      </x:c>
      <x:c r="E278" t="s">
        <x:v>63</x:v>
      </x:c>
      <x:c r="F278" t="s">
        <x:v>26</x:v>
      </x:c>
      <x:c r="G278" t="s">
        <x:v>27</x:v>
      </x:c>
      <x:c r="H278" t="s">
        <x:v>302</x:v>
      </x:c>
      <x:c r="I278">
        <x:v>14</x:v>
      </x:c>
      <x:c r="L278">
        <x:v>0</x:v>
      </x:c>
      <x:c r="M278">
        <x:v>3</x:v>
      </x:c>
      <x:c r="N278">
        <x:v>3.02</x:v>
      </x:c>
      <x:c r="O278">
        <x:v>1</x:v>
      </x:c>
      <x:c r="P278">
        <x:v>0</x:v>
      </x:c>
      <x:c r="Q278">
        <x:v>0</x:v>
      </x:c>
      <x:c r="R278" s="10">
        <x:v>0</x:v>
      </x:c>
      <x:c r="S278">
        <x:v>0</x:v>
      </x:c>
      <x:c r="T278">
        <x:v>0</x:v>
      </x:c>
      <x:c r="U278" s="10">
        <x:v>0</x:v>
      </x:c>
      <x:c r="W278" s="11" t="n">
        <x:f>Summary!$B$2</x:f>
        <x:v>0.15</x:v>
      </x:c>
      <x:c r="X278" s="11" t="n">
        <x:f>IFERROR(AD278-Summary!$B$2,"")</x:f>
        <x:v>-0.15</x:v>
      </x:c>
      <x:c r="Y278" s="10" t="str">
        <x:f>IFERROR((U278/Q278)*Summary!$B$2,"")</x:f>
      </x:c>
      <x:c r="Z278" s="12" t="n">
        <x:f>IFERROR(Q278/O278,0)</x:f>
        <x:v>0</x:v>
      </x:c>
      <x:c r="AA278" s="12" t="n">
        <x:f>IFERROR(T278/Q278,0)</x:f>
        <x:v>0</x:v>
      </x:c>
      <x:c r="AB278" s="10" t="n">
        <x:f>IFERROR(R278/Q278,0)</x:f>
        <x:v>0</x:v>
      </x:c>
      <x:c r="AC278" s="10" t="n">
        <x:f>IFERROR(U278/R278,0)</x:f>
        <x:v>0</x:v>
      </x:c>
      <x:c r="AD278" s="12" t="n">
        <x:f>IFERROR(R278/U278,0)</x:f>
        <x:v>0</x:v>
      </x:c>
      <x:c r="AE278" s="10" t="n">
        <x:f>IFERROR(U278/Q278,0)</x:f>
        <x:v>0</x:v>
      </x:c>
      <x:c r="AF278" s="10" t="n">
        <x:f>IF(Q278=0,M278,IF(U278=0,IF(Q278&gt;=10,MAX(0.02,M278*0.7),M278),IF(AD278=0,M278,MAX(0.02,IF(AD278&gt;Summary!$B$2,M278*Summary!$B$2/AD278,MIN(M278*1.2,M278*Summary!$B$2/AD278))))))</x:f>
        <x:v>3</x:v>
      </x:c>
      <x:c r="AG278" s="11" t="n">
        <x:f>IFERROR(AF278/M278-1,0)</x:f>
        <x:v>0</x:v>
      </x:c>
      <x:c r="AH278" t="str">
        <x:f>IF(Q278=0,"Need clicks",IF(AND(U278=0,Q278&gt;=10),"No sales: lower/pause",IF(AND(AD278&gt;Summary!$B$2,T278&gt;0),"Over target: reduce",IF(AND(AD278&lt;=Summary!$B$2,T278&gt;0),"At/under target: scale/hold",IF(AND(Q278&gt;0,T278=0),"Collect data","Review")))))</x:f>
        <x:v>Need clicks</x:v>
      </x:c>
      <x:c r="AI278" s="10" t="n">
        <x:f>IFERROR(IF(U278=0,R278,MAX(0,R278-(U278*Summary!$B$2))),0)</x:f>
        <x:v>0</x:v>
      </x:c>
      <x:c r="AJ278" t="str">
        <x:f>IF(AH278="No sales: lower/pause","Waste",IF(AH278="Over target: reduce","Inefficient",IF(AH278="At/under target: scale/hold","Efficient",IF(AND(O278&gt;=1000,Q278=0),"High imp/no click","Data gathering"))))</x:f>
        <x:v>Data gathering</x:v>
      </x:c>
    </x:row>
    <x:row r="279">
      <x:c r="A279" t="s">
        <x:v>22</x:v>
      </x:c>
      <x:c r="B279" t="s">
        <x:v>367</x:v>
      </x:c>
      <x:c r="C279" t="s">
        <x:v>22</x:v>
      </x:c>
      <x:c r="D279" t="s">
        <x:v>218</x:v>
      </x:c>
      <x:c r="E279" t="s">
        <x:v>63</x:v>
      </x:c>
      <x:c r="F279" t="s">
        <x:v>26</x:v>
      </x:c>
      <x:c r="G279" t="s">
        <x:v>27</x:v>
      </x:c>
      <x:c r="H279" t="s">
        <x:v>302</x:v>
      </x:c>
      <x:c r="I279">
        <x:v>14</x:v>
      </x:c>
      <x:c r="L279">
        <x:v>0</x:v>
      </x:c>
      <x:c r="M279">
        <x:v>3</x:v>
      </x:c>
      <x:c r="N279">
        <x:v>2.97</x:v>
      </x:c>
      <x:c r="O279">
        <x:v>67</x:v>
      </x:c>
      <x:c r="P279" s="1" t="s">
        <x:v>368</x:v>
      </x:c>
      <x:c r="Q279">
        <x:v>0</x:v>
      </x:c>
      <x:c r="R279" s="10">
        <x:v>0</x:v>
      </x:c>
      <x:c r="S279">
        <x:v>0</x:v>
      </x:c>
      <x:c r="T279">
        <x:v>0</x:v>
      </x:c>
      <x:c r="U279" s="10">
        <x:v>0</x:v>
      </x:c>
      <x:c r="W279" s="11" t="n">
        <x:f>Summary!$B$2</x:f>
        <x:v>0.15</x:v>
      </x:c>
      <x:c r="X279" s="11" t="n">
        <x:f>IFERROR(AD279-Summary!$B$2,"")</x:f>
        <x:v>-0.15</x:v>
      </x:c>
      <x:c r="Y279" s="10" t="str">
        <x:f>IFERROR((U279/Q279)*Summary!$B$2,"")</x:f>
      </x:c>
      <x:c r="Z279" s="12" t="n">
        <x:f>IFERROR(Q279/O279,0)</x:f>
        <x:v>0</x:v>
      </x:c>
      <x:c r="AA279" s="12" t="n">
        <x:f>IFERROR(T279/Q279,0)</x:f>
        <x:v>0</x:v>
      </x:c>
      <x:c r="AB279" s="10" t="n">
        <x:f>IFERROR(R279/Q279,0)</x:f>
        <x:v>0</x:v>
      </x:c>
      <x:c r="AC279" s="10" t="n">
        <x:f>IFERROR(U279/R279,0)</x:f>
        <x:v>0</x:v>
      </x:c>
      <x:c r="AD279" s="12" t="n">
        <x:f>IFERROR(R279/U279,0)</x:f>
        <x:v>0</x:v>
      </x:c>
      <x:c r="AE279" s="10" t="n">
        <x:f>IFERROR(U279/Q279,0)</x:f>
        <x:v>0</x:v>
      </x:c>
      <x:c r="AF279" s="10" t="n">
        <x:f>IF(Q279=0,M279,IF(U279=0,IF(Q279&gt;=10,MAX(0.02,M279*0.7),M279),IF(AD279=0,M279,MAX(0.02,IF(AD279&gt;Summary!$B$2,M279*Summary!$B$2/AD279,MIN(M279*1.2,M279*Summary!$B$2/AD279))))))</x:f>
        <x:v>3</x:v>
      </x:c>
      <x:c r="AG279" s="11" t="n">
        <x:f>IFERROR(AF279/M279-1,0)</x:f>
        <x:v>0</x:v>
      </x:c>
      <x:c r="AH279" t="str">
        <x:f>IF(Q279=0,"Need clicks",IF(AND(U279=0,Q279&gt;=10),"No sales: lower/pause",IF(AND(AD279&gt;Summary!$B$2,T279&gt;0),"Over target: reduce",IF(AND(AD279&lt;=Summary!$B$2,T279&gt;0),"At/under target: scale/hold",IF(AND(Q279&gt;0,T279=0),"Collect data","Review")))))</x:f>
        <x:v>Need clicks</x:v>
      </x:c>
      <x:c r="AI279" s="10" t="n">
        <x:f>IFERROR(IF(U279=0,R279,MAX(0,R279-(U279*Summary!$B$2))),0)</x:f>
        <x:v>0</x:v>
      </x:c>
      <x:c r="AJ279" t="str">
        <x:f>IF(AH279="No sales: lower/pause","Waste",IF(AH279="Over target: reduce","Inefficient",IF(AH279="At/under target: scale/hold","Efficient",IF(AND(O279&gt;=1000,Q279=0),"High imp/no click","Data gathering"))))</x:f>
        <x:v>Data gathering</x:v>
      </x:c>
    </x:row>
    <x:row r="280">
      <x:c r="A280" t="s">
        <x:v>22</x:v>
      </x:c>
      <x:c r="B280" t="s">
        <x:v>369</x:v>
      </x:c>
      <x:c r="C280" t="s">
        <x:v>22</x:v>
      </x:c>
      <x:c r="D280" t="s">
        <x:v>24</x:v>
      </x:c>
      <x:c r="E280" t="s">
        <x:v>63</x:v>
      </x:c>
      <x:c r="F280" t="s">
        <x:v>26</x:v>
      </x:c>
      <x:c r="G280" t="s">
        <x:v>27</x:v>
      </x:c>
      <x:c r="H280" t="s">
        <x:v>302</x:v>
      </x:c>
      <x:c r="I280">
        <x:v>14</x:v>
      </x:c>
      <x:c r="L280">
        <x:v>0</x:v>
      </x:c>
      <x:c r="M280">
        <x:v>3</x:v>
      </x:c>
      <x:c r="N280">
        <x:v>2.46</x:v>
      </x:c>
      <x:c r="O280">
        <x:v>44</x:v>
      </x:c>
      <x:c r="P280" s="1" t="s">
        <x:v>370</x:v>
      </x:c>
      <x:c r="Q280">
        <x:v>0</x:v>
      </x:c>
      <x:c r="R280" s="10">
        <x:v>0</x:v>
      </x:c>
      <x:c r="S280">
        <x:v>0</x:v>
      </x:c>
      <x:c r="T280">
        <x:v>0</x:v>
      </x:c>
      <x:c r="U280" s="10">
        <x:v>0</x:v>
      </x:c>
      <x:c r="W280" s="11" t="n">
        <x:f>Summary!$B$2</x:f>
        <x:v>0.15</x:v>
      </x:c>
      <x:c r="X280" s="11" t="n">
        <x:f>IFERROR(AD280-Summary!$B$2,"")</x:f>
        <x:v>-0.15</x:v>
      </x:c>
      <x:c r="Y280" s="10" t="str">
        <x:f>IFERROR((U280/Q280)*Summary!$B$2,"")</x:f>
      </x:c>
      <x:c r="Z280" s="12" t="n">
        <x:f>IFERROR(Q280/O280,0)</x:f>
        <x:v>0</x:v>
      </x:c>
      <x:c r="AA280" s="12" t="n">
        <x:f>IFERROR(T280/Q280,0)</x:f>
        <x:v>0</x:v>
      </x:c>
      <x:c r="AB280" s="10" t="n">
        <x:f>IFERROR(R280/Q280,0)</x:f>
        <x:v>0</x:v>
      </x:c>
      <x:c r="AC280" s="10" t="n">
        <x:f>IFERROR(U280/R280,0)</x:f>
        <x:v>0</x:v>
      </x:c>
      <x:c r="AD280" s="12" t="n">
        <x:f>IFERROR(R280/U280,0)</x:f>
        <x:v>0</x:v>
      </x:c>
      <x:c r="AE280" s="10" t="n">
        <x:f>IFERROR(U280/Q280,0)</x:f>
        <x:v>0</x:v>
      </x:c>
      <x:c r="AF280" s="10" t="n">
        <x:f>IF(Q280=0,M280,IF(U280=0,IF(Q280&gt;=10,MAX(0.02,M280*0.7),M280),IF(AD280=0,M280,MAX(0.02,IF(AD280&gt;Summary!$B$2,M280*Summary!$B$2/AD280,MIN(M280*1.2,M280*Summary!$B$2/AD280))))))</x:f>
        <x:v>3</x:v>
      </x:c>
      <x:c r="AG280" s="11" t="n">
        <x:f>IFERROR(AF280/M280-1,0)</x:f>
        <x:v>0</x:v>
      </x:c>
      <x:c r="AH280" t="str">
        <x:f>IF(Q280=0,"Need clicks",IF(AND(U280=0,Q280&gt;=10),"No sales: lower/pause",IF(AND(AD280&gt;Summary!$B$2,T280&gt;0),"Over target: reduce",IF(AND(AD280&lt;=Summary!$B$2,T280&gt;0),"At/under target: scale/hold",IF(AND(Q280&gt;0,T280=0),"Collect data","Review")))))</x:f>
        <x:v>Need clicks</x:v>
      </x:c>
      <x:c r="AI280" s="10" t="n">
        <x:f>IFERROR(IF(U280=0,R280,MAX(0,R280-(U280*Summary!$B$2))),0)</x:f>
        <x:v>0</x:v>
      </x:c>
      <x:c r="AJ280" t="str">
        <x:f>IF(AH280="No sales: lower/pause","Waste",IF(AH280="Over target: reduce","Inefficient",IF(AH280="At/under target: scale/hold","Efficient",IF(AND(O280&gt;=1000,Q280=0),"High imp/no click","Data gathering"))))</x:f>
        <x:v>Data gathering</x:v>
      </x:c>
    </x:row>
    <x:row r="281">
      <x:c r="A281" t="s">
        <x:v>22</x:v>
      </x:c>
      <x:c r="B281" t="s">
        <x:v>369</x:v>
      </x:c>
      <x:c r="C281" t="s">
        <x:v>22</x:v>
      </x:c>
      <x:c r="D281" t="s">
        <x:v>218</x:v>
      </x:c>
      <x:c r="E281" t="s">
        <x:v>63</x:v>
      </x:c>
      <x:c r="F281" t="s">
        <x:v>26</x:v>
      </x:c>
      <x:c r="G281" t="s">
        <x:v>27</x:v>
      </x:c>
      <x:c r="H281" t="s">
        <x:v>302</x:v>
      </x:c>
      <x:c r="I281">
        <x:v>14</x:v>
      </x:c>
      <x:c r="L281">
        <x:v>0</x:v>
      </x:c>
      <x:c r="M281">
        <x:v>3</x:v>
      </x:c>
      <x:c r="N281">
        <x:v>2.5</x:v>
      </x:c>
      <x:c r="O281">
        <x:v>24</x:v>
      </x:c>
      <x:c r="P281">
        <x:v>0</x:v>
      </x:c>
      <x:c r="Q281">
        <x:v>0</x:v>
      </x:c>
      <x:c r="R281" s="10">
        <x:v>0</x:v>
      </x:c>
      <x:c r="S281">
        <x:v>0</x:v>
      </x:c>
      <x:c r="T281">
        <x:v>0</x:v>
      </x:c>
      <x:c r="U281" s="10">
        <x:v>0</x:v>
      </x:c>
      <x:c r="W281" s="11" t="n">
        <x:f>Summary!$B$2</x:f>
        <x:v>0.15</x:v>
      </x:c>
      <x:c r="X281" s="11" t="n">
        <x:f>IFERROR(AD281-Summary!$B$2,"")</x:f>
        <x:v>-0.15</x:v>
      </x:c>
      <x:c r="Y281" s="10" t="str">
        <x:f>IFERROR((U281/Q281)*Summary!$B$2,"")</x:f>
      </x:c>
      <x:c r="Z281" s="12" t="n">
        <x:f>IFERROR(Q281/O281,0)</x:f>
        <x:v>0</x:v>
      </x:c>
      <x:c r="AA281" s="12" t="n">
        <x:f>IFERROR(T281/Q281,0)</x:f>
        <x:v>0</x:v>
      </x:c>
      <x:c r="AB281" s="10" t="n">
        <x:f>IFERROR(R281/Q281,0)</x:f>
        <x:v>0</x:v>
      </x:c>
      <x:c r="AC281" s="10" t="n">
        <x:f>IFERROR(U281/R281,0)</x:f>
        <x:v>0</x:v>
      </x:c>
      <x:c r="AD281" s="12" t="n">
        <x:f>IFERROR(R281/U281,0)</x:f>
        <x:v>0</x:v>
      </x:c>
      <x:c r="AE281" s="10" t="n">
        <x:f>IFERROR(U281/Q281,0)</x:f>
        <x:v>0</x:v>
      </x:c>
      <x:c r="AF281" s="10" t="n">
        <x:f>IF(Q281=0,M281,IF(U281=0,IF(Q281&gt;=10,MAX(0.02,M281*0.7),M281),IF(AD281=0,M281,MAX(0.02,IF(AD281&gt;Summary!$B$2,M281*Summary!$B$2/AD281,MIN(M281*1.2,M281*Summary!$B$2/AD281))))))</x:f>
        <x:v>3</x:v>
      </x:c>
      <x:c r="AG281" s="11" t="n">
        <x:f>IFERROR(AF281/M281-1,0)</x:f>
        <x:v>0</x:v>
      </x:c>
      <x:c r="AH281" t="str">
        <x:f>IF(Q281=0,"Need clicks",IF(AND(U281=0,Q281&gt;=10),"No sales: lower/pause",IF(AND(AD281&gt;Summary!$B$2,T281&gt;0),"Over target: reduce",IF(AND(AD281&lt;=Summary!$B$2,T281&gt;0),"At/under target: scale/hold",IF(AND(Q281&gt;0,T281=0),"Collect data","Review")))))</x:f>
        <x:v>Need clicks</x:v>
      </x:c>
      <x:c r="AI281" s="10" t="n">
        <x:f>IFERROR(IF(U281=0,R281,MAX(0,R281-(U281*Summary!$B$2))),0)</x:f>
        <x:v>0</x:v>
      </x:c>
      <x:c r="AJ281" t="str">
        <x:f>IF(AH281="No sales: lower/pause","Waste",IF(AH281="Over target: reduce","Inefficient",IF(AH281="At/under target: scale/hold","Efficient",IF(AND(O281&gt;=1000,Q281=0),"High imp/no click","Data gathering"))))</x:f>
        <x:v>Data gathering</x:v>
      </x:c>
    </x:row>
    <x:row r="282">
      <x:c r="A282" t="s">
        <x:v>22</x:v>
      </x:c>
      <x:c r="B282" t="s">
        <x:v>371</x:v>
      </x:c>
      <x:c r="C282" t="s">
        <x:v>22</x:v>
      </x:c>
      <x:c r="D282" t="s">
        <x:v>218</x:v>
      </x:c>
      <x:c r="E282" t="s">
        <x:v>63</x:v>
      </x:c>
      <x:c r="F282" t="s">
        <x:v>26</x:v>
      </x:c>
      <x:c r="G282" t="s">
        <x:v>27</x:v>
      </x:c>
      <x:c r="H282" t="s">
        <x:v>302</x:v>
      </x:c>
      <x:c r="I282">
        <x:v>14</x:v>
      </x:c>
      <x:c r="L282">
        <x:v>0</x:v>
      </x:c>
      <x:c r="M282">
        <x:v>3</x:v>
      </x:c>
      <x:c r="N282">
        <x:v>3.73</x:v>
      </x:c>
      <x:c r="O282">
        <x:v>63</x:v>
      </x:c>
      <x:c r="P282" s="1" t="s">
        <x:v>372</x:v>
      </x:c>
      <x:c r="Q282">
        <x:v>0</x:v>
      </x:c>
      <x:c r="R282" s="10">
        <x:v>0</x:v>
      </x:c>
      <x:c r="S282">
        <x:v>0</x:v>
      </x:c>
      <x:c r="T282">
        <x:v>0</x:v>
      </x:c>
      <x:c r="U282" s="10">
        <x:v>0</x:v>
      </x:c>
      <x:c r="W282" s="11" t="n">
        <x:f>Summary!$B$2</x:f>
        <x:v>0.15</x:v>
      </x:c>
      <x:c r="X282" s="11" t="n">
        <x:f>IFERROR(AD282-Summary!$B$2,"")</x:f>
        <x:v>-0.15</x:v>
      </x:c>
      <x:c r="Y282" s="10" t="str">
        <x:f>IFERROR((U282/Q282)*Summary!$B$2,"")</x:f>
      </x:c>
      <x:c r="Z282" s="12" t="n">
        <x:f>IFERROR(Q282/O282,0)</x:f>
        <x:v>0</x:v>
      </x:c>
      <x:c r="AA282" s="12" t="n">
        <x:f>IFERROR(T282/Q282,0)</x:f>
        <x:v>0</x:v>
      </x:c>
      <x:c r="AB282" s="10" t="n">
        <x:f>IFERROR(R282/Q282,0)</x:f>
        <x:v>0</x:v>
      </x:c>
      <x:c r="AC282" s="10" t="n">
        <x:f>IFERROR(U282/R282,0)</x:f>
        <x:v>0</x:v>
      </x:c>
      <x:c r="AD282" s="12" t="n">
        <x:f>IFERROR(R282/U282,0)</x:f>
        <x:v>0</x:v>
      </x:c>
      <x:c r="AE282" s="10" t="n">
        <x:f>IFERROR(U282/Q282,0)</x:f>
        <x:v>0</x:v>
      </x:c>
      <x:c r="AF282" s="10" t="n">
        <x:f>IF(Q282=0,M282,IF(U282=0,IF(Q282&gt;=10,MAX(0.02,M282*0.7),M282),IF(AD282=0,M282,MAX(0.02,IF(AD282&gt;Summary!$B$2,M282*Summary!$B$2/AD282,MIN(M282*1.2,M282*Summary!$B$2/AD282))))))</x:f>
        <x:v>3</x:v>
      </x:c>
      <x:c r="AG282" s="11" t="n">
        <x:f>IFERROR(AF282/M282-1,0)</x:f>
        <x:v>0</x:v>
      </x:c>
      <x:c r="AH282" t="str">
        <x:f>IF(Q282=0,"Need clicks",IF(AND(U282=0,Q282&gt;=10),"No sales: lower/pause",IF(AND(AD282&gt;Summary!$B$2,T282&gt;0),"Over target: reduce",IF(AND(AD282&lt;=Summary!$B$2,T282&gt;0),"At/under target: scale/hold",IF(AND(Q282&gt;0,T282=0),"Collect data","Review")))))</x:f>
        <x:v>Need clicks</x:v>
      </x:c>
      <x:c r="AI282" s="10" t="n">
        <x:f>IFERROR(IF(U282=0,R282,MAX(0,R282-(U282*Summary!$B$2))),0)</x:f>
        <x:v>0</x:v>
      </x:c>
      <x:c r="AJ282" t="str">
        <x:f>IF(AH282="No sales: lower/pause","Waste",IF(AH282="Over target: reduce","Inefficient",IF(AH282="At/under target: scale/hold","Efficient",IF(AND(O282&gt;=1000,Q282=0),"High imp/no click","Data gathering"))))</x:f>
        <x:v>Data gathering</x:v>
      </x:c>
    </x:row>
    <x:row r="283">
      <x:c r="A283" t="s">
        <x:v>22</x:v>
      </x:c>
      <x:c r="B283" t="s">
        <x:v>371</x:v>
      </x:c>
      <x:c r="C283" t="s">
        <x:v>22</x:v>
      </x:c>
      <x:c r="D283" t="s">
        <x:v>39</x:v>
      </x:c>
      <x:c r="E283" t="s">
        <x:v>63</x:v>
      </x:c>
      <x:c r="F283" t="s">
        <x:v>26</x:v>
      </x:c>
      <x:c r="G283" t="s">
        <x:v>27</x:v>
      </x:c>
      <x:c r="H283" t="s">
        <x:v>302</x:v>
      </x:c>
      <x:c r="I283">
        <x:v>14</x:v>
      </x:c>
      <x:c r="L283">
        <x:v>0</x:v>
      </x:c>
      <x:c r="M283">
        <x:v>3</x:v>
      </x:c>
      <x:c r="N283">
        <x:v>4.4800000000000004</x:v>
      </x:c>
      <x:c r="O283">
        <x:v>2</x:v>
      </x:c>
      <x:c r="P283">
        <x:v>0</x:v>
      </x:c>
      <x:c r="Q283">
        <x:v>0</x:v>
      </x:c>
      <x:c r="R283" s="10">
        <x:v>0</x:v>
      </x:c>
      <x:c r="S283">
        <x:v>0</x:v>
      </x:c>
      <x:c r="T283">
        <x:v>0</x:v>
      </x:c>
      <x:c r="U283" s="10">
        <x:v>0</x:v>
      </x:c>
      <x:c r="W283" s="11" t="n">
        <x:f>Summary!$B$2</x:f>
        <x:v>0.15</x:v>
      </x:c>
      <x:c r="X283" s="11" t="n">
        <x:f>IFERROR(AD283-Summary!$B$2,"")</x:f>
        <x:v>-0.15</x:v>
      </x:c>
      <x:c r="Y283" s="10" t="str">
        <x:f>IFERROR((U283/Q283)*Summary!$B$2,"")</x:f>
      </x:c>
      <x:c r="Z283" s="12" t="n">
        <x:f>IFERROR(Q283/O283,0)</x:f>
        <x:v>0</x:v>
      </x:c>
      <x:c r="AA283" s="12" t="n">
        <x:f>IFERROR(T283/Q283,0)</x:f>
        <x:v>0</x:v>
      </x:c>
      <x:c r="AB283" s="10" t="n">
        <x:f>IFERROR(R283/Q283,0)</x:f>
        <x:v>0</x:v>
      </x:c>
      <x:c r="AC283" s="10" t="n">
        <x:f>IFERROR(U283/R283,0)</x:f>
        <x:v>0</x:v>
      </x:c>
      <x:c r="AD283" s="12" t="n">
        <x:f>IFERROR(R283/U283,0)</x:f>
        <x:v>0</x:v>
      </x:c>
      <x:c r="AE283" s="10" t="n">
        <x:f>IFERROR(U283/Q283,0)</x:f>
        <x:v>0</x:v>
      </x:c>
      <x:c r="AF283" s="10" t="n">
        <x:f>IF(Q283=0,M283,IF(U283=0,IF(Q283&gt;=10,MAX(0.02,M283*0.7),M283),IF(AD283=0,M283,MAX(0.02,IF(AD283&gt;Summary!$B$2,M283*Summary!$B$2/AD283,MIN(M283*1.2,M283*Summary!$B$2/AD283))))))</x:f>
        <x:v>3</x:v>
      </x:c>
      <x:c r="AG283" s="11" t="n">
        <x:f>IFERROR(AF283/M283-1,0)</x:f>
        <x:v>0</x:v>
      </x:c>
      <x:c r="AH283" t="str">
        <x:f>IF(Q283=0,"Need clicks",IF(AND(U283=0,Q283&gt;=10),"No sales: lower/pause",IF(AND(AD283&gt;Summary!$B$2,T283&gt;0),"Over target: reduce",IF(AND(AD283&lt;=Summary!$B$2,T283&gt;0),"At/under target: scale/hold",IF(AND(Q283&gt;0,T283=0),"Collect data","Review")))))</x:f>
        <x:v>Need clicks</x:v>
      </x:c>
      <x:c r="AI283" s="10" t="n">
        <x:f>IFERROR(IF(U283=0,R283,MAX(0,R283-(U283*Summary!$B$2))),0)</x:f>
        <x:v>0</x:v>
      </x:c>
      <x:c r="AJ283" t="str">
        <x:f>IF(AH283="No sales: lower/pause","Waste",IF(AH283="Over target: reduce","Inefficient",IF(AH283="At/under target: scale/hold","Efficient",IF(AND(O283&gt;=1000,Q283=0),"High imp/no click","Data gathering"))))</x:f>
        <x:v>Data gathering</x:v>
      </x:c>
    </x:row>
    <x:row r="284">
      <x:c r="A284" t="s">
        <x:v>22</x:v>
      </x:c>
      <x:c r="B284" t="s">
        <x:v>373</x:v>
      </x:c>
      <x:c r="C284" t="s">
        <x:v>22</x:v>
      </x:c>
      <x:c r="D284" t="s">
        <x:v>218</x:v>
      </x:c>
      <x:c r="E284" t="s">
        <x:v>63</x:v>
      </x:c>
      <x:c r="F284" t="s">
        <x:v>26</x:v>
      </x:c>
      <x:c r="G284" t="s">
        <x:v>27</x:v>
      </x:c>
      <x:c r="H284" t="s">
        <x:v>302</x:v>
      </x:c>
      <x:c r="I284">
        <x:v>14</x:v>
      </x:c>
      <x:c r="L284">
        <x:v>0</x:v>
      </x:c>
      <x:c r="M284">
        <x:v>3</x:v>
      </x:c>
      <x:c r="N284">
        <x:v>1.99</x:v>
      </x:c>
      <x:c r="O284">
        <x:v>1355</x:v>
      </x:c>
      <x:c r="P284" s="1" t="s">
        <x:v>374</x:v>
      </x:c>
      <x:c r="Q284">
        <x:v>0</x:v>
      </x:c>
      <x:c r="R284" s="10">
        <x:v>0</x:v>
      </x:c>
      <x:c r="S284">
        <x:v>0</x:v>
      </x:c>
      <x:c r="T284">
        <x:v>0</x:v>
      </x:c>
      <x:c r="U284" s="10">
        <x:v>0</x:v>
      </x:c>
      <x:c r="W284" s="11" t="n">
        <x:f>Summary!$B$2</x:f>
        <x:v>0.15</x:v>
      </x:c>
      <x:c r="X284" s="11" t="n">
        <x:f>IFERROR(AD284-Summary!$B$2,"")</x:f>
        <x:v>-0.15</x:v>
      </x:c>
      <x:c r="Y284" s="10" t="str">
        <x:f>IFERROR((U284/Q284)*Summary!$B$2,"")</x:f>
      </x:c>
      <x:c r="Z284" s="12" t="n">
        <x:f>IFERROR(Q284/O284,0)</x:f>
        <x:v>0</x:v>
      </x:c>
      <x:c r="AA284" s="12" t="n">
        <x:f>IFERROR(T284/Q284,0)</x:f>
        <x:v>0</x:v>
      </x:c>
      <x:c r="AB284" s="10" t="n">
        <x:f>IFERROR(R284/Q284,0)</x:f>
        <x:v>0</x:v>
      </x:c>
      <x:c r="AC284" s="10" t="n">
        <x:f>IFERROR(U284/R284,0)</x:f>
        <x:v>0</x:v>
      </x:c>
      <x:c r="AD284" s="12" t="n">
        <x:f>IFERROR(R284/U284,0)</x:f>
        <x:v>0</x:v>
      </x:c>
      <x:c r="AE284" s="10" t="n">
        <x:f>IFERROR(U284/Q284,0)</x:f>
        <x:v>0</x:v>
      </x:c>
      <x:c r="AF284" s="10" t="n">
        <x:f>IF(Q284=0,M284,IF(U284=0,IF(Q284&gt;=10,MAX(0.02,M284*0.7),M284),IF(AD284=0,M284,MAX(0.02,IF(AD284&gt;Summary!$B$2,M284*Summary!$B$2/AD284,MIN(M284*1.2,M284*Summary!$B$2/AD284))))))</x:f>
        <x:v>3</x:v>
      </x:c>
      <x:c r="AG284" s="11" t="n">
        <x:f>IFERROR(AF284/M284-1,0)</x:f>
        <x:v>0</x:v>
      </x:c>
      <x:c r="AH284" t="str">
        <x:f>IF(Q284=0,"Need clicks",IF(AND(U284=0,Q284&gt;=10),"No sales: lower/pause",IF(AND(AD284&gt;Summary!$B$2,T284&gt;0),"Over target: reduce",IF(AND(AD284&lt;=Summary!$B$2,T284&gt;0),"At/under target: scale/hold",IF(AND(Q284&gt;0,T284=0),"Collect data","Review")))))</x:f>
        <x:v>Need clicks</x:v>
      </x:c>
      <x:c r="AI284" s="10" t="n">
        <x:f>IFERROR(IF(U284=0,R284,MAX(0,R284-(U284*Summary!$B$2))),0)</x:f>
        <x:v>0</x:v>
      </x:c>
      <x:c r="AJ284" t="str">
        <x:f>IF(AH284="No sales: lower/pause","Waste",IF(AH284="Over target: reduce","Inefficient",IF(AH284="At/under target: scale/hold","Efficient",IF(AND(O284&gt;=1000,Q284=0),"High imp/no click","Data gathering"))))</x:f>
        <x:v>High imp/no click</x:v>
      </x:c>
    </x:row>
    <x:row r="285">
      <x:c r="A285" t="s">
        <x:v>22</x:v>
      </x:c>
      <x:c r="B285" t="s">
        <x:v>375</x:v>
      </x:c>
      <x:c r="C285" t="s">
        <x:v>22</x:v>
      </x:c>
      <x:c r="D285" t="s">
        <x:v>24</x:v>
      </x:c>
      <x:c r="E285" t="s">
        <x:v>63</x:v>
      </x:c>
      <x:c r="F285" t="s">
        <x:v>26</x:v>
      </x:c>
      <x:c r="G285" t="s">
        <x:v>27</x:v>
      </x:c>
      <x:c r="H285" t="s">
        <x:v>302</x:v>
      </x:c>
      <x:c r="I285">
        <x:v>14</x:v>
      </x:c>
      <x:c r="L285">
        <x:v>0</x:v>
      </x:c>
      <x:c r="M285">
        <x:v>3</x:v>
      </x:c>
      <x:c r="N285">
        <x:v>3.44</x:v>
      </x:c>
      <x:c r="O285">
        <x:v>56</x:v>
      </x:c>
      <x:c r="P285">
        <x:v>4</x:v>
      </x:c>
      <x:c r="Q285">
        <x:v>0</x:v>
      </x:c>
      <x:c r="R285" s="10">
        <x:v>0</x:v>
      </x:c>
      <x:c r="S285">
        <x:v>0</x:v>
      </x:c>
      <x:c r="T285">
        <x:v>0</x:v>
      </x:c>
      <x:c r="U285" s="10">
        <x:v>0</x:v>
      </x:c>
      <x:c r="W285" s="11" t="n">
        <x:f>Summary!$B$2</x:f>
        <x:v>0.15</x:v>
      </x:c>
      <x:c r="X285" s="11" t="n">
        <x:f>IFERROR(AD285-Summary!$B$2,"")</x:f>
        <x:v>-0.15</x:v>
      </x:c>
      <x:c r="Y285" s="10" t="str">
        <x:f>IFERROR((U285/Q285)*Summary!$B$2,"")</x:f>
      </x:c>
      <x:c r="Z285" s="12" t="n">
        <x:f>IFERROR(Q285/O285,0)</x:f>
        <x:v>0</x:v>
      </x:c>
      <x:c r="AA285" s="12" t="n">
        <x:f>IFERROR(T285/Q285,0)</x:f>
        <x:v>0</x:v>
      </x:c>
      <x:c r="AB285" s="10" t="n">
        <x:f>IFERROR(R285/Q285,0)</x:f>
        <x:v>0</x:v>
      </x:c>
      <x:c r="AC285" s="10" t="n">
        <x:f>IFERROR(U285/R285,0)</x:f>
        <x:v>0</x:v>
      </x:c>
      <x:c r="AD285" s="12" t="n">
        <x:f>IFERROR(R285/U285,0)</x:f>
        <x:v>0</x:v>
      </x:c>
      <x:c r="AE285" s="10" t="n">
        <x:f>IFERROR(U285/Q285,0)</x:f>
        <x:v>0</x:v>
      </x:c>
      <x:c r="AF285" s="10" t="n">
        <x:f>IF(Q285=0,M285,IF(U285=0,IF(Q285&gt;=10,MAX(0.02,M285*0.7),M285),IF(AD285=0,M285,MAX(0.02,IF(AD285&gt;Summary!$B$2,M285*Summary!$B$2/AD285,MIN(M285*1.2,M285*Summary!$B$2/AD285))))))</x:f>
        <x:v>3</x:v>
      </x:c>
      <x:c r="AG285" s="11" t="n">
        <x:f>IFERROR(AF285/M285-1,0)</x:f>
        <x:v>0</x:v>
      </x:c>
      <x:c r="AH285" t="str">
        <x:f>IF(Q285=0,"Need clicks",IF(AND(U285=0,Q285&gt;=10),"No sales: lower/pause",IF(AND(AD285&gt;Summary!$B$2,T285&gt;0),"Over target: reduce",IF(AND(AD285&lt;=Summary!$B$2,T285&gt;0),"At/under target: scale/hold",IF(AND(Q285&gt;0,T285=0),"Collect data","Review")))))</x:f>
        <x:v>Need clicks</x:v>
      </x:c>
      <x:c r="AI285" s="10" t="n">
        <x:f>IFERROR(IF(U285=0,R285,MAX(0,R285-(U285*Summary!$B$2))),0)</x:f>
        <x:v>0</x:v>
      </x:c>
      <x:c r="AJ285" t="str">
        <x:f>IF(AH285="No sales: lower/pause","Waste",IF(AH285="Over target: reduce","Inefficient",IF(AH285="At/under target: scale/hold","Efficient",IF(AND(O285&gt;=1000,Q285=0),"High imp/no click","Data gathering"))))</x:f>
        <x:v>Data gathering</x:v>
      </x:c>
    </x:row>
    <x:row r="286">
      <x:c r="A286" t="s">
        <x:v>22</x:v>
      </x:c>
      <x:c r="B286" t="s">
        <x:v>375</x:v>
      </x:c>
      <x:c r="C286" t="s">
        <x:v>22</x:v>
      </x:c>
      <x:c r="D286" t="s">
        <x:v>218</x:v>
      </x:c>
      <x:c r="E286" t="s">
        <x:v>63</x:v>
      </x:c>
      <x:c r="F286" t="s">
        <x:v>26</x:v>
      </x:c>
      <x:c r="G286" t="s">
        <x:v>27</x:v>
      </x:c>
      <x:c r="H286" t="s">
        <x:v>302</x:v>
      </x:c>
      <x:c r="I286">
        <x:v>14</x:v>
      </x:c>
      <x:c r="L286">
        <x:v>0</x:v>
      </x:c>
      <x:c r="M286">
        <x:v>3</x:v>
      </x:c>
      <x:c r="N286">
        <x:v>3.42</x:v>
      </x:c>
      <x:c r="O286">
        <x:v>1</x:v>
      </x:c>
      <x:c r="P286">
        <x:v>0</x:v>
      </x:c>
      <x:c r="Q286">
        <x:v>0</x:v>
      </x:c>
      <x:c r="R286" s="10">
        <x:v>0</x:v>
      </x:c>
      <x:c r="S286">
        <x:v>0</x:v>
      </x:c>
      <x:c r="T286">
        <x:v>0</x:v>
      </x:c>
      <x:c r="U286" s="10">
        <x:v>0</x:v>
      </x:c>
      <x:c r="W286" s="11" t="n">
        <x:f>Summary!$B$2</x:f>
        <x:v>0.15</x:v>
      </x:c>
      <x:c r="X286" s="11" t="n">
        <x:f>IFERROR(AD286-Summary!$B$2,"")</x:f>
        <x:v>-0.15</x:v>
      </x:c>
      <x:c r="Y286" s="10" t="str">
        <x:f>IFERROR((U286/Q286)*Summary!$B$2,"")</x:f>
      </x:c>
      <x:c r="Z286" s="12" t="n">
        <x:f>IFERROR(Q286/O286,0)</x:f>
        <x:v>0</x:v>
      </x:c>
      <x:c r="AA286" s="12" t="n">
        <x:f>IFERROR(T286/Q286,0)</x:f>
        <x:v>0</x:v>
      </x:c>
      <x:c r="AB286" s="10" t="n">
        <x:f>IFERROR(R286/Q286,0)</x:f>
        <x:v>0</x:v>
      </x:c>
      <x:c r="AC286" s="10" t="n">
        <x:f>IFERROR(U286/R286,0)</x:f>
        <x:v>0</x:v>
      </x:c>
      <x:c r="AD286" s="12" t="n">
        <x:f>IFERROR(R286/U286,0)</x:f>
        <x:v>0</x:v>
      </x:c>
      <x:c r="AE286" s="10" t="n">
        <x:f>IFERROR(U286/Q286,0)</x:f>
        <x:v>0</x:v>
      </x:c>
      <x:c r="AF286" s="10" t="n">
        <x:f>IF(Q286=0,M286,IF(U286=0,IF(Q286&gt;=10,MAX(0.02,M286*0.7),M286),IF(AD286=0,M286,MAX(0.02,IF(AD286&gt;Summary!$B$2,M286*Summary!$B$2/AD286,MIN(M286*1.2,M286*Summary!$B$2/AD286))))))</x:f>
        <x:v>3</x:v>
      </x:c>
      <x:c r="AG286" s="11" t="n">
        <x:f>IFERROR(AF286/M286-1,0)</x:f>
        <x:v>0</x:v>
      </x:c>
      <x:c r="AH286" t="str">
        <x:f>IF(Q286=0,"Need clicks",IF(AND(U286=0,Q286&gt;=10),"No sales: lower/pause",IF(AND(AD286&gt;Summary!$B$2,T286&gt;0),"Over target: reduce",IF(AND(AD286&lt;=Summary!$B$2,T286&gt;0),"At/under target: scale/hold",IF(AND(Q286&gt;0,T286=0),"Collect data","Review")))))</x:f>
        <x:v>Need clicks</x:v>
      </x:c>
      <x:c r="AI286" s="10" t="n">
        <x:f>IFERROR(IF(U286=0,R286,MAX(0,R286-(U286*Summary!$B$2))),0)</x:f>
        <x:v>0</x:v>
      </x:c>
      <x:c r="AJ286" t="str">
        <x:f>IF(AH286="No sales: lower/pause","Waste",IF(AH286="Over target: reduce","Inefficient",IF(AH286="At/under target: scale/hold","Efficient",IF(AND(O286&gt;=1000,Q286=0),"High imp/no click","Data gathering"))))</x:f>
        <x:v>Data gathering</x:v>
      </x:c>
    </x:row>
    <x:row r="287">
      <x:c r="A287" t="s">
        <x:v>22</x:v>
      </x:c>
      <x:c r="B287" t="s">
        <x:v>376</x:v>
      </x:c>
      <x:c r="C287" t="s">
        <x:v>22</x:v>
      </x:c>
      <x:c r="D287" t="s">
        <x:v>24</x:v>
      </x:c>
      <x:c r="E287" t="s">
        <x:v>63</x:v>
      </x:c>
      <x:c r="F287" t="s">
        <x:v>26</x:v>
      </x:c>
      <x:c r="G287" t="s">
        <x:v>27</x:v>
      </x:c>
      <x:c r="H287" t="s">
        <x:v>302</x:v>
      </x:c>
      <x:c r="I287">
        <x:v>14</x:v>
      </x:c>
      <x:c r="L287">
        <x:v>0</x:v>
      </x:c>
      <x:c r="M287">
        <x:v>3</x:v>
      </x:c>
      <x:c r="N287">
        <x:v>4.32</x:v>
      </x:c>
      <x:c r="O287">
        <x:v>81</x:v>
      </x:c>
      <x:c r="P287" s="1" t="s">
        <x:v>377</x:v>
      </x:c>
      <x:c r="Q287">
        <x:v>0</x:v>
      </x:c>
      <x:c r="R287" s="10">
        <x:v>0</x:v>
      </x:c>
      <x:c r="S287">
        <x:v>0</x:v>
      </x:c>
      <x:c r="T287">
        <x:v>0</x:v>
      </x:c>
      <x:c r="U287" s="10">
        <x:v>0</x:v>
      </x:c>
      <x:c r="W287" s="11" t="n">
        <x:f>Summary!$B$2</x:f>
        <x:v>0.15</x:v>
      </x:c>
      <x:c r="X287" s="11" t="n">
        <x:f>IFERROR(AD287-Summary!$B$2,"")</x:f>
        <x:v>-0.15</x:v>
      </x:c>
      <x:c r="Y287" s="10" t="str">
        <x:f>IFERROR((U287/Q287)*Summary!$B$2,"")</x:f>
      </x:c>
      <x:c r="Z287" s="12" t="n">
        <x:f>IFERROR(Q287/O287,0)</x:f>
        <x:v>0</x:v>
      </x:c>
      <x:c r="AA287" s="12" t="n">
        <x:f>IFERROR(T287/Q287,0)</x:f>
        <x:v>0</x:v>
      </x:c>
      <x:c r="AB287" s="10" t="n">
        <x:f>IFERROR(R287/Q287,0)</x:f>
        <x:v>0</x:v>
      </x:c>
      <x:c r="AC287" s="10" t="n">
        <x:f>IFERROR(U287/R287,0)</x:f>
        <x:v>0</x:v>
      </x:c>
      <x:c r="AD287" s="12" t="n">
        <x:f>IFERROR(R287/U287,0)</x:f>
        <x:v>0</x:v>
      </x:c>
      <x:c r="AE287" s="10" t="n">
        <x:f>IFERROR(U287/Q287,0)</x:f>
        <x:v>0</x:v>
      </x:c>
      <x:c r="AF287" s="10" t="n">
        <x:f>IF(Q287=0,M287,IF(U287=0,IF(Q287&gt;=10,MAX(0.02,M287*0.7),M287),IF(AD287=0,M287,MAX(0.02,IF(AD287&gt;Summary!$B$2,M287*Summary!$B$2/AD287,MIN(M287*1.2,M287*Summary!$B$2/AD287))))))</x:f>
        <x:v>3</x:v>
      </x:c>
      <x:c r="AG287" s="11" t="n">
        <x:f>IFERROR(AF287/M287-1,0)</x:f>
        <x:v>0</x:v>
      </x:c>
      <x:c r="AH287" t="str">
        <x:f>IF(Q287=0,"Need clicks",IF(AND(U287=0,Q287&gt;=10),"No sales: lower/pause",IF(AND(AD287&gt;Summary!$B$2,T287&gt;0),"Over target: reduce",IF(AND(AD287&lt;=Summary!$B$2,T287&gt;0),"At/under target: scale/hold",IF(AND(Q287&gt;0,T287=0),"Collect data","Review")))))</x:f>
        <x:v>Need clicks</x:v>
      </x:c>
      <x:c r="AI287" s="10" t="n">
        <x:f>IFERROR(IF(U287=0,R287,MAX(0,R287-(U287*Summary!$B$2))),0)</x:f>
        <x:v>0</x:v>
      </x:c>
      <x:c r="AJ287" t="str">
        <x:f>IF(AH287="No sales: lower/pause","Waste",IF(AH287="Over target: reduce","Inefficient",IF(AH287="At/under target: scale/hold","Efficient",IF(AND(O287&gt;=1000,Q287=0),"High imp/no click","Data gathering"))))</x:f>
        <x:v>Data gathering</x:v>
      </x:c>
    </x:row>
    <x:row r="288">
      <x:c r="A288" t="s">
        <x:v>22</x:v>
      </x:c>
      <x:c r="B288" t="s">
        <x:v>376</x:v>
      </x:c>
      <x:c r="C288" t="s">
        <x:v>22</x:v>
      </x:c>
      <x:c r="D288" t="s">
        <x:v>218</x:v>
      </x:c>
      <x:c r="E288" t="s">
        <x:v>63</x:v>
      </x:c>
      <x:c r="F288" t="s">
        <x:v>26</x:v>
      </x:c>
      <x:c r="G288" t="s">
        <x:v>27</x:v>
      </x:c>
      <x:c r="H288" t="s">
        <x:v>302</x:v>
      </x:c>
      <x:c r="I288">
        <x:v>14</x:v>
      </x:c>
      <x:c r="L288">
        <x:v>0</x:v>
      </x:c>
      <x:c r="M288">
        <x:v>3</x:v>
      </x:c>
      <x:c r="N288">
        <x:v>4.0199999999999996</x:v>
      </x:c>
      <x:c r="O288">
        <x:v>30</x:v>
      </x:c>
      <x:c r="P288">
        <x:v>0</x:v>
      </x:c>
      <x:c r="Q288">
        <x:v>0</x:v>
      </x:c>
      <x:c r="R288" s="10">
        <x:v>0</x:v>
      </x:c>
      <x:c r="S288">
        <x:v>0</x:v>
      </x:c>
      <x:c r="T288">
        <x:v>0</x:v>
      </x:c>
      <x:c r="U288" s="10">
        <x:v>0</x:v>
      </x:c>
      <x:c r="W288" s="11" t="n">
        <x:f>Summary!$B$2</x:f>
        <x:v>0.15</x:v>
      </x:c>
      <x:c r="X288" s="11" t="n">
        <x:f>IFERROR(AD288-Summary!$B$2,"")</x:f>
        <x:v>-0.15</x:v>
      </x:c>
      <x:c r="Y288" s="10" t="str">
        <x:f>IFERROR((U288/Q288)*Summary!$B$2,"")</x:f>
      </x:c>
      <x:c r="Z288" s="12" t="n">
        <x:f>IFERROR(Q288/O288,0)</x:f>
        <x:v>0</x:v>
      </x:c>
      <x:c r="AA288" s="12" t="n">
        <x:f>IFERROR(T288/Q288,0)</x:f>
        <x:v>0</x:v>
      </x:c>
      <x:c r="AB288" s="10" t="n">
        <x:f>IFERROR(R288/Q288,0)</x:f>
        <x:v>0</x:v>
      </x:c>
      <x:c r="AC288" s="10" t="n">
        <x:f>IFERROR(U288/R288,0)</x:f>
        <x:v>0</x:v>
      </x:c>
      <x:c r="AD288" s="12" t="n">
        <x:f>IFERROR(R288/U288,0)</x:f>
        <x:v>0</x:v>
      </x:c>
      <x:c r="AE288" s="10" t="n">
        <x:f>IFERROR(U288/Q288,0)</x:f>
        <x:v>0</x:v>
      </x:c>
      <x:c r="AF288" s="10" t="n">
        <x:f>IF(Q288=0,M288,IF(U288=0,IF(Q288&gt;=10,MAX(0.02,M288*0.7),M288),IF(AD288=0,M288,MAX(0.02,IF(AD288&gt;Summary!$B$2,M288*Summary!$B$2/AD288,MIN(M288*1.2,M288*Summary!$B$2/AD288))))))</x:f>
        <x:v>3</x:v>
      </x:c>
      <x:c r="AG288" s="11" t="n">
        <x:f>IFERROR(AF288/M288-1,0)</x:f>
        <x:v>0</x:v>
      </x:c>
      <x:c r="AH288" t="str">
        <x:f>IF(Q288=0,"Need clicks",IF(AND(U288=0,Q288&gt;=10),"No sales: lower/pause",IF(AND(AD288&gt;Summary!$B$2,T288&gt;0),"Over target: reduce",IF(AND(AD288&lt;=Summary!$B$2,T288&gt;0),"At/under target: scale/hold",IF(AND(Q288&gt;0,T288=0),"Collect data","Review")))))</x:f>
        <x:v>Need clicks</x:v>
      </x:c>
      <x:c r="AI288" s="10" t="n">
        <x:f>IFERROR(IF(U288=0,R288,MAX(0,R288-(U288*Summary!$B$2))),0)</x:f>
        <x:v>0</x:v>
      </x:c>
      <x:c r="AJ288" t="str">
        <x:f>IF(AH288="No sales: lower/pause","Waste",IF(AH288="Over target: reduce","Inefficient",IF(AH288="At/under target: scale/hold","Efficient",IF(AND(O288&gt;=1000,Q288=0),"High imp/no click","Data gathering"))))</x:f>
        <x:v>Data gathering</x:v>
      </x:c>
    </x:row>
    <x:row r="289">
      <x:c r="A289" t="s">
        <x:v>22</x:v>
      </x:c>
      <x:c r="B289" t="s">
        <x:v>378</x:v>
      </x:c>
      <x:c r="C289" t="s">
        <x:v>22</x:v>
      </x:c>
      <x:c r="D289" t="s">
        <x:v>24</x:v>
      </x:c>
      <x:c r="E289" t="s">
        <x:v>63</x:v>
      </x:c>
      <x:c r="F289" t="s">
        <x:v>26</x:v>
      </x:c>
      <x:c r="G289" t="s">
        <x:v>27</x:v>
      </x:c>
      <x:c r="H289" t="s">
        <x:v>302</x:v>
      </x:c>
      <x:c r="I289">
        <x:v>14</x:v>
      </x:c>
      <x:c r="L289">
        <x:v>0</x:v>
      </x:c>
      <x:c r="M289">
        <x:v>3</x:v>
      </x:c>
      <x:c r="N289">
        <x:v>3.73</x:v>
      </x:c>
      <x:c r="O289">
        <x:v>606</x:v>
      </x:c>
      <x:c r="P289" s="1" t="s">
        <x:v>379</x:v>
      </x:c>
      <x:c r="Q289">
        <x:v>0</x:v>
      </x:c>
      <x:c r="R289" s="10">
        <x:v>0</x:v>
      </x:c>
      <x:c r="S289">
        <x:v>0</x:v>
      </x:c>
      <x:c r="T289">
        <x:v>0</x:v>
      </x:c>
      <x:c r="U289" s="10">
        <x:v>0</x:v>
      </x:c>
      <x:c r="W289" s="11" t="n">
        <x:f>Summary!$B$2</x:f>
        <x:v>0.15</x:v>
      </x:c>
      <x:c r="X289" s="11" t="n">
        <x:f>IFERROR(AD289-Summary!$B$2,"")</x:f>
        <x:v>-0.15</x:v>
      </x:c>
      <x:c r="Y289" s="10" t="str">
        <x:f>IFERROR((U289/Q289)*Summary!$B$2,"")</x:f>
      </x:c>
      <x:c r="Z289" s="12" t="n">
        <x:f>IFERROR(Q289/O289,0)</x:f>
        <x:v>0</x:v>
      </x:c>
      <x:c r="AA289" s="12" t="n">
        <x:f>IFERROR(T289/Q289,0)</x:f>
        <x:v>0</x:v>
      </x:c>
      <x:c r="AB289" s="10" t="n">
        <x:f>IFERROR(R289/Q289,0)</x:f>
        <x:v>0</x:v>
      </x:c>
      <x:c r="AC289" s="10" t="n">
        <x:f>IFERROR(U289/R289,0)</x:f>
        <x:v>0</x:v>
      </x:c>
      <x:c r="AD289" s="12" t="n">
        <x:f>IFERROR(R289/U289,0)</x:f>
        <x:v>0</x:v>
      </x:c>
      <x:c r="AE289" s="10" t="n">
        <x:f>IFERROR(U289/Q289,0)</x:f>
        <x:v>0</x:v>
      </x:c>
      <x:c r="AF289" s="10" t="n">
        <x:f>IF(Q289=0,M289,IF(U289=0,IF(Q289&gt;=10,MAX(0.02,M289*0.7),M289),IF(AD289=0,M289,MAX(0.02,IF(AD289&gt;Summary!$B$2,M289*Summary!$B$2/AD289,MIN(M289*1.2,M289*Summary!$B$2/AD289))))))</x:f>
        <x:v>3</x:v>
      </x:c>
      <x:c r="AG289" s="11" t="n">
        <x:f>IFERROR(AF289/M289-1,0)</x:f>
        <x:v>0</x:v>
      </x:c>
      <x:c r="AH289" t="str">
        <x:f>IF(Q289=0,"Need clicks",IF(AND(U289=0,Q289&gt;=10),"No sales: lower/pause",IF(AND(AD289&gt;Summary!$B$2,T289&gt;0),"Over target: reduce",IF(AND(AD289&lt;=Summary!$B$2,T289&gt;0),"At/under target: scale/hold",IF(AND(Q289&gt;0,T289=0),"Collect data","Review")))))</x:f>
        <x:v>Need clicks</x:v>
      </x:c>
      <x:c r="AI289" s="10" t="n">
        <x:f>IFERROR(IF(U289=0,R289,MAX(0,R289-(U289*Summary!$B$2))),0)</x:f>
        <x:v>0</x:v>
      </x:c>
      <x:c r="AJ289" t="str">
        <x:f>IF(AH289="No sales: lower/pause","Waste",IF(AH289="Over target: reduce","Inefficient",IF(AH289="At/under target: scale/hold","Efficient",IF(AND(O289&gt;=1000,Q289=0),"High imp/no click","Data gathering"))))</x:f>
        <x:v>Data gathering</x:v>
      </x:c>
    </x:row>
    <x:row r="290">
      <x:c r="A290" t="s">
        <x:v>22</x:v>
      </x:c>
      <x:c r="B290" t="s">
        <x:v>378</x:v>
      </x:c>
      <x:c r="C290" t="s">
        <x:v>22</x:v>
      </x:c>
      <x:c r="D290" t="s">
        <x:v>218</x:v>
      </x:c>
      <x:c r="E290" t="s">
        <x:v>63</x:v>
      </x:c>
      <x:c r="F290" t="s">
        <x:v>26</x:v>
      </x:c>
      <x:c r="G290" t="s">
        <x:v>27</x:v>
      </x:c>
      <x:c r="H290" t="s">
        <x:v>302</x:v>
      </x:c>
      <x:c r="I290">
        <x:v>14</x:v>
      </x:c>
      <x:c r="L290">
        <x:v>0</x:v>
      </x:c>
      <x:c r="M290">
        <x:v>3</x:v>
      </x:c>
      <x:c r="N290">
        <x:v>3.53</x:v>
      </x:c>
      <x:c r="O290">
        <x:v>176</x:v>
      </x:c>
      <x:c r="P290" s="1" t="s">
        <x:v>380</x:v>
      </x:c>
      <x:c r="Q290">
        <x:v>0</x:v>
      </x:c>
      <x:c r="R290" s="10">
        <x:v>0</x:v>
      </x:c>
      <x:c r="S290">
        <x:v>0</x:v>
      </x:c>
      <x:c r="T290">
        <x:v>0</x:v>
      </x:c>
      <x:c r="U290" s="10">
        <x:v>0</x:v>
      </x:c>
      <x:c r="W290" s="11" t="n">
        <x:f>Summary!$B$2</x:f>
        <x:v>0.15</x:v>
      </x:c>
      <x:c r="X290" s="11" t="n">
        <x:f>IFERROR(AD290-Summary!$B$2,"")</x:f>
        <x:v>-0.15</x:v>
      </x:c>
      <x:c r="Y290" s="10" t="str">
        <x:f>IFERROR((U290/Q290)*Summary!$B$2,"")</x:f>
      </x:c>
      <x:c r="Z290" s="12" t="n">
        <x:f>IFERROR(Q290/O290,0)</x:f>
        <x:v>0</x:v>
      </x:c>
      <x:c r="AA290" s="12" t="n">
        <x:f>IFERROR(T290/Q290,0)</x:f>
        <x:v>0</x:v>
      </x:c>
      <x:c r="AB290" s="10" t="n">
        <x:f>IFERROR(R290/Q290,0)</x:f>
        <x:v>0</x:v>
      </x:c>
      <x:c r="AC290" s="10" t="n">
        <x:f>IFERROR(U290/R290,0)</x:f>
        <x:v>0</x:v>
      </x:c>
      <x:c r="AD290" s="12" t="n">
        <x:f>IFERROR(R290/U290,0)</x:f>
        <x:v>0</x:v>
      </x:c>
      <x:c r="AE290" s="10" t="n">
        <x:f>IFERROR(U290/Q290,0)</x:f>
        <x:v>0</x:v>
      </x:c>
      <x:c r="AF290" s="10" t="n">
        <x:f>IF(Q290=0,M290,IF(U290=0,IF(Q290&gt;=10,MAX(0.02,M290*0.7),M290),IF(AD290=0,M290,MAX(0.02,IF(AD290&gt;Summary!$B$2,M290*Summary!$B$2/AD290,MIN(M290*1.2,M290*Summary!$B$2/AD290))))))</x:f>
        <x:v>3</x:v>
      </x:c>
      <x:c r="AG290" s="11" t="n">
        <x:f>IFERROR(AF290/M290-1,0)</x:f>
        <x:v>0</x:v>
      </x:c>
      <x:c r="AH290" t="str">
        <x:f>IF(Q290=0,"Need clicks",IF(AND(U290=0,Q290&gt;=10),"No sales: lower/pause",IF(AND(AD290&gt;Summary!$B$2,T290&gt;0),"Over target: reduce",IF(AND(AD290&lt;=Summary!$B$2,T290&gt;0),"At/under target: scale/hold",IF(AND(Q290&gt;0,T290=0),"Collect data","Review")))))</x:f>
        <x:v>Need clicks</x:v>
      </x:c>
      <x:c r="AI290" s="10" t="n">
        <x:f>IFERROR(IF(U290=0,R290,MAX(0,R290-(U290*Summary!$B$2))),0)</x:f>
        <x:v>0</x:v>
      </x:c>
      <x:c r="AJ290" t="str">
        <x:f>IF(AH290="No sales: lower/pause","Waste",IF(AH290="Over target: reduce","Inefficient",IF(AH290="At/under target: scale/hold","Efficient",IF(AND(O290&gt;=1000,Q290=0),"High imp/no click","Data gathering"))))</x:f>
        <x:v>Data gathering</x:v>
      </x:c>
    </x:row>
    <x:row r="291">
      <x:c r="A291" t="s">
        <x:v>22</x:v>
      </x:c>
      <x:c r="B291" t="s">
        <x:v>381</x:v>
      </x:c>
      <x:c r="C291" t="s">
        <x:v>22</x:v>
      </x:c>
      <x:c r="D291" t="s">
        <x:v>24</x:v>
      </x:c>
      <x:c r="E291" t="s">
        <x:v>63</x:v>
      </x:c>
      <x:c r="F291" t="s">
        <x:v>26</x:v>
      </x:c>
      <x:c r="G291" t="s">
        <x:v>27</x:v>
      </x:c>
      <x:c r="H291" t="s">
        <x:v>302</x:v>
      </x:c>
      <x:c r="I291">
        <x:v>14</x:v>
      </x:c>
      <x:c r="L291">
        <x:v>0</x:v>
      </x:c>
      <x:c r="M291">
        <x:v>3</x:v>
      </x:c>
      <x:c r="N291">
        <x:v>3.55</x:v>
      </x:c>
      <x:c r="O291">
        <x:v>40</x:v>
      </x:c>
      <x:c r="P291">
        <x:v>0</x:v>
      </x:c>
      <x:c r="Q291">
        <x:v>0</x:v>
      </x:c>
      <x:c r="R291" s="10">
        <x:v>0</x:v>
      </x:c>
      <x:c r="S291">
        <x:v>0</x:v>
      </x:c>
      <x:c r="T291">
        <x:v>0</x:v>
      </x:c>
      <x:c r="U291" s="10">
        <x:v>0</x:v>
      </x:c>
      <x:c r="W291" s="11" t="n">
        <x:f>Summary!$B$2</x:f>
        <x:v>0.15</x:v>
      </x:c>
      <x:c r="X291" s="11" t="n">
        <x:f>IFERROR(AD291-Summary!$B$2,"")</x:f>
        <x:v>-0.15</x:v>
      </x:c>
      <x:c r="Y291" s="10" t="str">
        <x:f>IFERROR((U291/Q291)*Summary!$B$2,"")</x:f>
      </x:c>
      <x:c r="Z291" s="12" t="n">
        <x:f>IFERROR(Q291/O291,0)</x:f>
        <x:v>0</x:v>
      </x:c>
      <x:c r="AA291" s="12" t="n">
        <x:f>IFERROR(T291/Q291,0)</x:f>
        <x:v>0</x:v>
      </x:c>
      <x:c r="AB291" s="10" t="n">
        <x:f>IFERROR(R291/Q291,0)</x:f>
        <x:v>0</x:v>
      </x:c>
      <x:c r="AC291" s="10" t="n">
        <x:f>IFERROR(U291/R291,0)</x:f>
        <x:v>0</x:v>
      </x:c>
      <x:c r="AD291" s="12" t="n">
        <x:f>IFERROR(R291/U291,0)</x:f>
        <x:v>0</x:v>
      </x:c>
      <x:c r="AE291" s="10" t="n">
        <x:f>IFERROR(U291/Q291,0)</x:f>
        <x:v>0</x:v>
      </x:c>
      <x:c r="AF291" s="10" t="n">
        <x:f>IF(Q291=0,M291,IF(U291=0,IF(Q291&gt;=10,MAX(0.02,M291*0.7),M291),IF(AD291=0,M291,MAX(0.02,IF(AD291&gt;Summary!$B$2,M291*Summary!$B$2/AD291,MIN(M291*1.2,M291*Summary!$B$2/AD291))))))</x:f>
        <x:v>3</x:v>
      </x:c>
      <x:c r="AG291" s="11" t="n">
        <x:f>IFERROR(AF291/M291-1,0)</x:f>
        <x:v>0</x:v>
      </x:c>
      <x:c r="AH291" t="str">
        <x:f>IF(Q291=0,"Need clicks",IF(AND(U291=0,Q291&gt;=10),"No sales: lower/pause",IF(AND(AD291&gt;Summary!$B$2,T291&gt;0),"Over target: reduce",IF(AND(AD291&lt;=Summary!$B$2,T291&gt;0),"At/under target: scale/hold",IF(AND(Q291&gt;0,T291=0),"Collect data","Review")))))</x:f>
        <x:v>Need clicks</x:v>
      </x:c>
      <x:c r="AI291" s="10" t="n">
        <x:f>IFERROR(IF(U291=0,R291,MAX(0,R291-(U291*Summary!$B$2))),0)</x:f>
        <x:v>0</x:v>
      </x:c>
      <x:c r="AJ291" t="str">
        <x:f>IF(AH291="No sales: lower/pause","Waste",IF(AH291="Over target: reduce","Inefficient",IF(AH291="At/under target: scale/hold","Efficient",IF(AND(O291&gt;=1000,Q291=0),"High imp/no click","Data gathering"))))</x:f>
        <x:v>Data gathering</x:v>
      </x:c>
    </x:row>
    <x:row r="292">
      <x:c r="A292" t="s">
        <x:v>22</x:v>
      </x:c>
      <x:c r="B292" t="s">
        <x:v>382</x:v>
      </x:c>
      <x:c r="C292" t="s">
        <x:v>22</x:v>
      </x:c>
      <x:c r="D292" t="s">
        <x:v>24</x:v>
      </x:c>
      <x:c r="E292" t="s">
        <x:v>63</x:v>
      </x:c>
      <x:c r="F292" t="s">
        <x:v>26</x:v>
      </x:c>
      <x:c r="G292" t="s">
        <x:v>27</x:v>
      </x:c>
      <x:c r="H292" t="s">
        <x:v>302</x:v>
      </x:c>
      <x:c r="I292">
        <x:v>14</x:v>
      </x:c>
      <x:c r="L292">
        <x:v>0</x:v>
      </x:c>
      <x:c r="M292">
        <x:v>3</x:v>
      </x:c>
      <x:c r="N292">
        <x:v>1.68</x:v>
      </x:c>
      <x:c r="O292">
        <x:v>121</x:v>
      </x:c>
      <x:c r="P292">
        <x:v>0</x:v>
      </x:c>
      <x:c r="Q292">
        <x:v>0</x:v>
      </x:c>
      <x:c r="R292" s="10">
        <x:v>0</x:v>
      </x:c>
      <x:c r="S292">
        <x:v>0</x:v>
      </x:c>
      <x:c r="T292">
        <x:v>0</x:v>
      </x:c>
      <x:c r="U292" s="10">
        <x:v>0</x:v>
      </x:c>
      <x:c r="W292" s="11" t="n">
        <x:f>Summary!$B$2</x:f>
        <x:v>0.15</x:v>
      </x:c>
      <x:c r="X292" s="11" t="n">
        <x:f>IFERROR(AD292-Summary!$B$2,"")</x:f>
        <x:v>-0.15</x:v>
      </x:c>
      <x:c r="Y292" s="10" t="str">
        <x:f>IFERROR((U292/Q292)*Summary!$B$2,"")</x:f>
      </x:c>
      <x:c r="Z292" s="12" t="n">
        <x:f>IFERROR(Q292/O292,0)</x:f>
        <x:v>0</x:v>
      </x:c>
      <x:c r="AA292" s="12" t="n">
        <x:f>IFERROR(T292/Q292,0)</x:f>
        <x:v>0</x:v>
      </x:c>
      <x:c r="AB292" s="10" t="n">
        <x:f>IFERROR(R292/Q292,0)</x:f>
        <x:v>0</x:v>
      </x:c>
      <x:c r="AC292" s="10" t="n">
        <x:f>IFERROR(U292/R292,0)</x:f>
        <x:v>0</x:v>
      </x:c>
      <x:c r="AD292" s="12" t="n">
        <x:f>IFERROR(R292/U292,0)</x:f>
        <x:v>0</x:v>
      </x:c>
      <x:c r="AE292" s="10" t="n">
        <x:f>IFERROR(U292/Q292,0)</x:f>
        <x:v>0</x:v>
      </x:c>
      <x:c r="AF292" s="10" t="n">
        <x:f>IF(Q292=0,M292,IF(U292=0,IF(Q292&gt;=10,MAX(0.02,M292*0.7),M292),IF(AD292=0,M292,MAX(0.02,IF(AD292&gt;Summary!$B$2,M292*Summary!$B$2/AD292,MIN(M292*1.2,M292*Summary!$B$2/AD292))))))</x:f>
        <x:v>3</x:v>
      </x:c>
      <x:c r="AG292" s="11" t="n">
        <x:f>IFERROR(AF292/M292-1,0)</x:f>
        <x:v>0</x:v>
      </x:c>
      <x:c r="AH292" t="str">
        <x:f>IF(Q292=0,"Need clicks",IF(AND(U292=0,Q292&gt;=10),"No sales: lower/pause",IF(AND(AD292&gt;Summary!$B$2,T292&gt;0),"Over target: reduce",IF(AND(AD292&lt;=Summary!$B$2,T292&gt;0),"At/under target: scale/hold",IF(AND(Q292&gt;0,T292=0),"Collect data","Review")))))</x:f>
        <x:v>Need clicks</x:v>
      </x:c>
      <x:c r="AI292" s="10" t="n">
        <x:f>IFERROR(IF(U292=0,R292,MAX(0,R292-(U292*Summary!$B$2))),0)</x:f>
        <x:v>0</x:v>
      </x:c>
      <x:c r="AJ292" t="str">
        <x:f>IF(AH292="No sales: lower/pause","Waste",IF(AH292="Over target: reduce","Inefficient",IF(AH292="At/under target: scale/hold","Efficient",IF(AND(O292&gt;=1000,Q292=0),"High imp/no click","Data gathering"))))</x:f>
        <x:v>Data gathering</x:v>
      </x:c>
    </x:row>
    <x:row r="293">
      <x:c r="A293" t="s">
        <x:v>22</x:v>
      </x:c>
      <x:c r="B293" t="s">
        <x:v>383</x:v>
      </x:c>
      <x:c r="C293" t="s">
        <x:v>22</x:v>
      </x:c>
      <x:c r="D293" t="s">
        <x:v>24</x:v>
      </x:c>
      <x:c r="E293" t="s">
        <x:v>63</x:v>
      </x:c>
      <x:c r="F293" t="s">
        <x:v>26</x:v>
      </x:c>
      <x:c r="G293" t="s">
        <x:v>27</x:v>
      </x:c>
      <x:c r="H293" t="s">
        <x:v>302</x:v>
      </x:c>
      <x:c r="I293">
        <x:v>14</x:v>
      </x:c>
      <x:c r="L293">
        <x:v>0</x:v>
      </x:c>
      <x:c r="M293">
        <x:v>3</x:v>
      </x:c>
      <x:c r="N293">
        <x:v>3.93</x:v>
      </x:c>
      <x:c r="O293">
        <x:v>89</x:v>
      </x:c>
      <x:c r="P293">
        <x:v>0</x:v>
      </x:c>
      <x:c r="Q293">
        <x:v>0</x:v>
      </x:c>
      <x:c r="R293" s="10">
        <x:v>0</x:v>
      </x:c>
      <x:c r="S293">
        <x:v>0</x:v>
      </x:c>
      <x:c r="T293">
        <x:v>0</x:v>
      </x:c>
      <x:c r="U293" s="10">
        <x:v>0</x:v>
      </x:c>
      <x:c r="W293" s="11" t="n">
        <x:f>Summary!$B$2</x:f>
        <x:v>0.15</x:v>
      </x:c>
      <x:c r="X293" s="11" t="n">
        <x:f>IFERROR(AD293-Summary!$B$2,"")</x:f>
        <x:v>-0.15</x:v>
      </x:c>
      <x:c r="Y293" s="10" t="str">
        <x:f>IFERROR((U293/Q293)*Summary!$B$2,"")</x:f>
      </x:c>
      <x:c r="Z293" s="12" t="n">
        <x:f>IFERROR(Q293/O293,0)</x:f>
        <x:v>0</x:v>
      </x:c>
      <x:c r="AA293" s="12" t="n">
        <x:f>IFERROR(T293/Q293,0)</x:f>
        <x:v>0</x:v>
      </x:c>
      <x:c r="AB293" s="10" t="n">
        <x:f>IFERROR(R293/Q293,0)</x:f>
        <x:v>0</x:v>
      </x:c>
      <x:c r="AC293" s="10" t="n">
        <x:f>IFERROR(U293/R293,0)</x:f>
        <x:v>0</x:v>
      </x:c>
      <x:c r="AD293" s="12" t="n">
        <x:f>IFERROR(R293/U293,0)</x:f>
        <x:v>0</x:v>
      </x:c>
      <x:c r="AE293" s="10" t="n">
        <x:f>IFERROR(U293/Q293,0)</x:f>
        <x:v>0</x:v>
      </x:c>
      <x:c r="AF293" s="10" t="n">
        <x:f>IF(Q293=0,M293,IF(U293=0,IF(Q293&gt;=10,MAX(0.02,M293*0.7),M293),IF(AD293=0,M293,MAX(0.02,IF(AD293&gt;Summary!$B$2,M293*Summary!$B$2/AD293,MIN(M293*1.2,M293*Summary!$B$2/AD293))))))</x:f>
        <x:v>3</x:v>
      </x:c>
      <x:c r="AG293" s="11" t="n">
        <x:f>IFERROR(AF293/M293-1,0)</x:f>
        <x:v>0</x:v>
      </x:c>
      <x:c r="AH293" t="str">
        <x:f>IF(Q293=0,"Need clicks",IF(AND(U293=0,Q293&gt;=10),"No sales: lower/pause",IF(AND(AD293&gt;Summary!$B$2,T293&gt;0),"Over target: reduce",IF(AND(AD293&lt;=Summary!$B$2,T293&gt;0),"At/under target: scale/hold",IF(AND(Q293&gt;0,T293=0),"Collect data","Review")))))</x:f>
        <x:v>Need clicks</x:v>
      </x:c>
      <x:c r="AI293" s="10" t="n">
        <x:f>IFERROR(IF(U293=0,R293,MAX(0,R293-(U293*Summary!$B$2))),0)</x:f>
        <x:v>0</x:v>
      </x:c>
      <x:c r="AJ293" t="str">
        <x:f>IF(AH293="No sales: lower/pause","Waste",IF(AH293="Over target: reduce","Inefficient",IF(AH293="At/under target: scale/hold","Efficient",IF(AND(O293&gt;=1000,Q293=0),"High imp/no click","Data gathering"))))</x:f>
        <x:v>Data gathering</x:v>
      </x:c>
    </x:row>
    <x:row r="294">
      <x:c r="A294" t="s">
        <x:v>22</x:v>
      </x:c>
      <x:c r="B294" t="s">
        <x:v>384</x:v>
      </x:c>
      <x:c r="C294" t="s">
        <x:v>22</x:v>
      </x:c>
      <x:c r="D294" t="s">
        <x:v>24</x:v>
      </x:c>
      <x:c r="E294" t="s">
        <x:v>63</x:v>
      </x:c>
      <x:c r="F294" t="s">
        <x:v>26</x:v>
      </x:c>
      <x:c r="G294" t="s">
        <x:v>27</x:v>
      </x:c>
      <x:c r="H294" t="s">
        <x:v>302</x:v>
      </x:c>
      <x:c r="I294">
        <x:v>14</x:v>
      </x:c>
      <x:c r="L294">
        <x:v>0</x:v>
      </x:c>
      <x:c r="M294">
        <x:v>3</x:v>
      </x:c>
      <x:c r="N294">
        <x:v>3.74</x:v>
      </x:c>
      <x:c r="O294">
        <x:v>176</x:v>
      </x:c>
      <x:c r="P294" s="1" t="s">
        <x:v>385</x:v>
      </x:c>
      <x:c r="Q294">
        <x:v>0</x:v>
      </x:c>
      <x:c r="R294" s="10">
        <x:v>0</x:v>
      </x:c>
      <x:c r="S294">
        <x:v>0</x:v>
      </x:c>
      <x:c r="T294">
        <x:v>0</x:v>
      </x:c>
      <x:c r="U294" s="10">
        <x:v>0</x:v>
      </x:c>
      <x:c r="W294" s="11" t="n">
        <x:f>Summary!$B$2</x:f>
        <x:v>0.15</x:v>
      </x:c>
      <x:c r="X294" s="11" t="n">
        <x:f>IFERROR(AD294-Summary!$B$2,"")</x:f>
        <x:v>-0.15</x:v>
      </x:c>
      <x:c r="Y294" s="10" t="str">
        <x:f>IFERROR((U294/Q294)*Summary!$B$2,"")</x:f>
      </x:c>
      <x:c r="Z294" s="12" t="n">
        <x:f>IFERROR(Q294/O294,0)</x:f>
        <x:v>0</x:v>
      </x:c>
      <x:c r="AA294" s="12" t="n">
        <x:f>IFERROR(T294/Q294,0)</x:f>
        <x:v>0</x:v>
      </x:c>
      <x:c r="AB294" s="10" t="n">
        <x:f>IFERROR(R294/Q294,0)</x:f>
        <x:v>0</x:v>
      </x:c>
      <x:c r="AC294" s="10" t="n">
        <x:f>IFERROR(U294/R294,0)</x:f>
        <x:v>0</x:v>
      </x:c>
      <x:c r="AD294" s="12" t="n">
        <x:f>IFERROR(R294/U294,0)</x:f>
        <x:v>0</x:v>
      </x:c>
      <x:c r="AE294" s="10" t="n">
        <x:f>IFERROR(U294/Q294,0)</x:f>
        <x:v>0</x:v>
      </x:c>
      <x:c r="AF294" s="10" t="n">
        <x:f>IF(Q294=0,M294,IF(U294=0,IF(Q294&gt;=10,MAX(0.02,M294*0.7),M294),IF(AD294=0,M294,MAX(0.02,IF(AD294&gt;Summary!$B$2,M294*Summary!$B$2/AD294,MIN(M294*1.2,M294*Summary!$B$2/AD294))))))</x:f>
        <x:v>3</x:v>
      </x:c>
      <x:c r="AG294" s="11" t="n">
        <x:f>IFERROR(AF294/M294-1,0)</x:f>
        <x:v>0</x:v>
      </x:c>
      <x:c r="AH294" t="str">
        <x:f>IF(Q294=0,"Need clicks",IF(AND(U294=0,Q294&gt;=10),"No sales: lower/pause",IF(AND(AD294&gt;Summary!$B$2,T294&gt;0),"Over target: reduce",IF(AND(AD294&lt;=Summary!$B$2,T294&gt;0),"At/under target: scale/hold",IF(AND(Q294&gt;0,T294=0),"Collect data","Review")))))</x:f>
        <x:v>Need clicks</x:v>
      </x:c>
      <x:c r="AI294" s="10" t="n">
        <x:f>IFERROR(IF(U294=0,R294,MAX(0,R294-(U294*Summary!$B$2))),0)</x:f>
        <x:v>0</x:v>
      </x:c>
      <x:c r="AJ294" t="str">
        <x:f>IF(AH294="No sales: lower/pause","Waste",IF(AH294="Over target: reduce","Inefficient",IF(AH294="At/under target: scale/hold","Efficient",IF(AND(O294&gt;=1000,Q294=0),"High imp/no click","Data gathering"))))</x:f>
        <x:v>Data gathering</x:v>
      </x:c>
    </x:row>
    <x:row r="295">
      <x:c r="A295" t="s">
        <x:v>22</x:v>
      </x:c>
      <x:c r="B295" t="s">
        <x:v>386</x:v>
      </x:c>
      <x:c r="C295" t="s">
        <x:v>22</x:v>
      </x:c>
      <x:c r="D295" t="s">
        <x:v>218</x:v>
      </x:c>
      <x:c r="E295" t="s">
        <x:v>63</x:v>
      </x:c>
      <x:c r="F295" t="s">
        <x:v>26</x:v>
      </x:c>
      <x:c r="G295" t="s">
        <x:v>27</x:v>
      </x:c>
      <x:c r="H295" t="s">
        <x:v>387</x:v>
      </x:c>
      <x:c r="I295">
        <x:v>1</x:v>
      </x:c>
      <x:c r="L295">
        <x:v>0</x:v>
      </x:c>
      <x:c r="M295">
        <x:v>3</x:v>
      </x:c>
      <x:c r="N295">
        <x:v>0.8</x:v>
      </x:c>
      <x:c r="O295">
        <x:v>1</x:v>
      </x:c>
      <x:c r="P295">
        <x:v>5.8823529411764701</x:v>
      </x:c>
      <x:c r="Q295">
        <x:v>0</x:v>
      </x:c>
      <x:c r="R295" s="10">
        <x:v>0</x:v>
      </x:c>
      <x:c r="S295">
        <x:v>0</x:v>
      </x:c>
      <x:c r="T295">
        <x:v>0</x:v>
      </x:c>
      <x:c r="U295" s="10">
        <x:v>0</x:v>
      </x:c>
      <x:c r="W295" s="11" t="n">
        <x:f>Summary!$B$2</x:f>
        <x:v>0.15</x:v>
      </x:c>
      <x:c r="X295" s="11" t="n">
        <x:f>IFERROR(AD295-Summary!$B$2,"")</x:f>
        <x:v>-0.15</x:v>
      </x:c>
      <x:c r="Y295" s="10" t="str">
        <x:f>IFERROR((U295/Q295)*Summary!$B$2,"")</x:f>
      </x:c>
      <x:c r="Z295" s="12" t="n">
        <x:f>IFERROR(Q295/O295,0)</x:f>
        <x:v>0</x:v>
      </x:c>
      <x:c r="AA295" s="12" t="n">
        <x:f>IFERROR(T295/Q295,0)</x:f>
        <x:v>0</x:v>
      </x:c>
      <x:c r="AB295" s="10" t="n">
        <x:f>IFERROR(R295/Q295,0)</x:f>
        <x:v>0</x:v>
      </x:c>
      <x:c r="AC295" s="10" t="n">
        <x:f>IFERROR(U295/R295,0)</x:f>
        <x:v>0</x:v>
      </x:c>
      <x:c r="AD295" s="12" t="n">
        <x:f>IFERROR(R295/U295,0)</x:f>
        <x:v>0</x:v>
      </x:c>
      <x:c r="AE295" s="10" t="n">
        <x:f>IFERROR(U295/Q295,0)</x:f>
        <x:v>0</x:v>
      </x:c>
      <x:c r="AF295" s="10" t="n">
        <x:f>IF(Q295=0,M295,IF(U295=0,IF(Q295&gt;=10,MAX(0.02,M295*0.7),M295),IF(AD295=0,M295,MAX(0.02,IF(AD295&gt;Summary!$B$2,M295*Summary!$B$2/AD295,MIN(M295*1.2,M295*Summary!$B$2/AD295))))))</x:f>
        <x:v>3</x:v>
      </x:c>
      <x:c r="AG295" s="11" t="n">
        <x:f>IFERROR(AF295/M295-1,0)</x:f>
        <x:v>0</x:v>
      </x:c>
      <x:c r="AH295" t="str">
        <x:f>IF(Q295=0,"Need clicks",IF(AND(U295=0,Q295&gt;=10),"No sales: lower/pause",IF(AND(AD295&gt;Summary!$B$2,T295&gt;0),"Over target: reduce",IF(AND(AD295&lt;=Summary!$B$2,T295&gt;0),"At/under target: scale/hold",IF(AND(Q295&gt;0,T295=0),"Collect data","Review")))))</x:f>
        <x:v>Need clicks</x:v>
      </x:c>
      <x:c r="AI295" s="10" t="n">
        <x:f>IFERROR(IF(U295=0,R295,MAX(0,R295-(U295*Summary!$B$2))),0)</x:f>
        <x:v>0</x:v>
      </x:c>
      <x:c r="AJ295" t="str">
        <x:f>IF(AH295="No sales: lower/pause","Waste",IF(AH295="Over target: reduce","Inefficient",IF(AH295="At/under target: scale/hold","Efficient",IF(AND(O295&gt;=1000,Q295=0),"High imp/no click","Data gathering"))))</x:f>
        <x:v>Data gathering</x:v>
      </x:c>
    </x:row>
    <x:row r="296">
      <x:c r="A296" t="s">
        <x:v>22</x:v>
      </x:c>
      <x:c r="B296" t="s">
        <x:v>386</x:v>
      </x:c>
      <x:c r="C296" t="s">
        <x:v>22</x:v>
      </x:c>
      <x:c r="D296" t="s">
        <x:v>39</x:v>
      </x:c>
      <x:c r="E296" t="s">
        <x:v>63</x:v>
      </x:c>
      <x:c r="F296" t="s">
        <x:v>26</x:v>
      </x:c>
      <x:c r="G296" t="s">
        <x:v>27</x:v>
      </x:c>
      <x:c r="H296" t="s">
        <x:v>387</x:v>
      </x:c>
      <x:c r="I296">
        <x:v>1</x:v>
      </x:c>
      <x:c r="L296">
        <x:v>0</x:v>
      </x:c>
      <x:c r="M296">
        <x:v>3</x:v>
      </x:c>
      <x:c r="N296">
        <x:v>0.66</x:v>
      </x:c>
      <x:c r="O296">
        <x:v>1</x:v>
      </x:c>
      <x:c r="P296">
        <x:v>0</x:v>
      </x:c>
      <x:c r="Q296">
        <x:v>0</x:v>
      </x:c>
      <x:c r="R296" s="10">
        <x:v>0</x:v>
      </x:c>
      <x:c r="S296">
        <x:v>0</x:v>
      </x:c>
      <x:c r="T296">
        <x:v>0</x:v>
      </x:c>
      <x:c r="U296" s="10">
        <x:v>0</x:v>
      </x:c>
      <x:c r="W296" s="11" t="n">
        <x:f>Summary!$B$2</x:f>
        <x:v>0.15</x:v>
      </x:c>
      <x:c r="X296" s="11" t="n">
        <x:f>IFERROR(AD296-Summary!$B$2,"")</x:f>
        <x:v>-0.15</x:v>
      </x:c>
      <x:c r="Y296" s="10" t="str">
        <x:f>IFERROR((U296/Q296)*Summary!$B$2,"")</x:f>
      </x:c>
      <x:c r="Z296" s="12" t="n">
        <x:f>IFERROR(Q296/O296,0)</x:f>
        <x:v>0</x:v>
      </x:c>
      <x:c r="AA296" s="12" t="n">
        <x:f>IFERROR(T296/Q296,0)</x:f>
        <x:v>0</x:v>
      </x:c>
      <x:c r="AB296" s="10" t="n">
        <x:f>IFERROR(R296/Q296,0)</x:f>
        <x:v>0</x:v>
      </x:c>
      <x:c r="AC296" s="10" t="n">
        <x:f>IFERROR(U296/R296,0)</x:f>
        <x:v>0</x:v>
      </x:c>
      <x:c r="AD296" s="12" t="n">
        <x:f>IFERROR(R296/U296,0)</x:f>
        <x:v>0</x:v>
      </x:c>
      <x:c r="AE296" s="10" t="n">
        <x:f>IFERROR(U296/Q296,0)</x:f>
        <x:v>0</x:v>
      </x:c>
      <x:c r="AF296" s="10" t="n">
        <x:f>IF(Q296=0,M296,IF(U296=0,IF(Q296&gt;=10,MAX(0.02,M296*0.7),M296),IF(AD296=0,M296,MAX(0.02,IF(AD296&gt;Summary!$B$2,M296*Summary!$B$2/AD296,MIN(M296*1.2,M296*Summary!$B$2/AD296))))))</x:f>
        <x:v>3</x:v>
      </x:c>
      <x:c r="AG296" s="11" t="n">
        <x:f>IFERROR(AF296/M296-1,0)</x:f>
        <x:v>0</x:v>
      </x:c>
      <x:c r="AH296" t="str">
        <x:f>IF(Q296=0,"Need clicks",IF(AND(U296=0,Q296&gt;=10),"No sales: lower/pause",IF(AND(AD296&gt;Summary!$B$2,T296&gt;0),"Over target: reduce",IF(AND(AD296&lt;=Summary!$B$2,T296&gt;0),"At/under target: scale/hold",IF(AND(Q296&gt;0,T296=0),"Collect data","Review")))))</x:f>
        <x:v>Need clicks</x:v>
      </x:c>
      <x:c r="AI296" s="10" t="n">
        <x:f>IFERROR(IF(U296=0,R296,MAX(0,R296-(U296*Summary!$B$2))),0)</x:f>
        <x:v>0</x:v>
      </x:c>
      <x:c r="AJ296" t="str">
        <x:f>IF(AH296="No sales: lower/pause","Waste",IF(AH296="Over target: reduce","Inefficient",IF(AH296="At/under target: scale/hold","Efficient",IF(AND(O296&gt;=1000,Q296=0),"High imp/no click","Data gathering"))))</x:f>
        <x:v>Data gathering</x:v>
      </x:c>
    </x:row>
    <x:row r="297">
      <x:c r="A297" t="s">
        <x:v>22</x:v>
      </x:c>
      <x:c r="B297" t="s">
        <x:v>388</x:v>
      </x:c>
      <x:c r="C297" t="s">
        <x:v>22</x:v>
      </x:c>
      <x:c r="D297" t="s">
        <x:v>24</x:v>
      </x:c>
      <x:c r="E297" t="s">
        <x:v>63</x:v>
      </x:c>
      <x:c r="F297" t="s">
        <x:v>26</x:v>
      </x:c>
      <x:c r="G297" t="s">
        <x:v>27</x:v>
      </x:c>
      <x:c r="H297" t="s">
        <x:v>387</x:v>
      </x:c>
      <x:c r="I297">
        <x:v>1</x:v>
      </x:c>
      <x:c r="L297">
        <x:v>0</x:v>
      </x:c>
      <x:c r="M297">
        <x:v>3</x:v>
      </x:c>
      <x:c r="N297">
        <x:v>4.95</x:v>
      </x:c>
      <x:c r="O297">
        <x:v>16</x:v>
      </x:c>
      <x:c r="P297">
        <x:v>0</x:v>
      </x:c>
      <x:c r="Q297">
        <x:v>0</x:v>
      </x:c>
      <x:c r="R297" s="10">
        <x:v>0</x:v>
      </x:c>
      <x:c r="S297">
        <x:v>0</x:v>
      </x:c>
      <x:c r="T297">
        <x:v>0</x:v>
      </x:c>
      <x:c r="U297" s="10">
        <x:v>0</x:v>
      </x:c>
      <x:c r="W297" s="11" t="n">
        <x:f>Summary!$B$2</x:f>
        <x:v>0.15</x:v>
      </x:c>
      <x:c r="X297" s="11" t="n">
        <x:f>IFERROR(AD297-Summary!$B$2,"")</x:f>
        <x:v>-0.15</x:v>
      </x:c>
      <x:c r="Y297" s="10" t="str">
        <x:f>IFERROR((U297/Q297)*Summary!$B$2,"")</x:f>
      </x:c>
      <x:c r="Z297" s="12" t="n">
        <x:f>IFERROR(Q297/O297,0)</x:f>
        <x:v>0</x:v>
      </x:c>
      <x:c r="AA297" s="12" t="n">
        <x:f>IFERROR(T297/Q297,0)</x:f>
        <x:v>0</x:v>
      </x:c>
      <x:c r="AB297" s="10" t="n">
        <x:f>IFERROR(R297/Q297,0)</x:f>
        <x:v>0</x:v>
      </x:c>
      <x:c r="AC297" s="10" t="n">
        <x:f>IFERROR(U297/R297,0)</x:f>
        <x:v>0</x:v>
      </x:c>
      <x:c r="AD297" s="12" t="n">
        <x:f>IFERROR(R297/U297,0)</x:f>
        <x:v>0</x:v>
      </x:c>
      <x:c r="AE297" s="10" t="n">
        <x:f>IFERROR(U297/Q297,0)</x:f>
        <x:v>0</x:v>
      </x:c>
      <x:c r="AF297" s="10" t="n">
        <x:f>IF(Q297=0,M297,IF(U297=0,IF(Q297&gt;=10,MAX(0.02,M297*0.7),M297),IF(AD297=0,M297,MAX(0.02,IF(AD297&gt;Summary!$B$2,M297*Summary!$B$2/AD297,MIN(M297*1.2,M297*Summary!$B$2/AD297))))))</x:f>
        <x:v>3</x:v>
      </x:c>
      <x:c r="AG297" s="11" t="n">
        <x:f>IFERROR(AF297/M297-1,0)</x:f>
        <x:v>0</x:v>
      </x:c>
      <x:c r="AH297" t="str">
        <x:f>IF(Q297=0,"Need clicks",IF(AND(U297=0,Q297&gt;=10),"No sales: lower/pause",IF(AND(AD297&gt;Summary!$B$2,T297&gt;0),"Over target: reduce",IF(AND(AD297&lt;=Summary!$B$2,T297&gt;0),"At/under target: scale/hold",IF(AND(Q297&gt;0,T297=0),"Collect data","Review")))))</x:f>
        <x:v>Need clicks</x:v>
      </x:c>
      <x:c r="AI297" s="10" t="n">
        <x:f>IFERROR(IF(U297=0,R297,MAX(0,R297-(U297*Summary!$B$2))),0)</x:f>
        <x:v>0</x:v>
      </x:c>
      <x:c r="AJ297" t="str">
        <x:f>IF(AH297="No sales: lower/pause","Waste",IF(AH297="Over target: reduce","Inefficient",IF(AH297="At/under target: scale/hold","Efficient",IF(AND(O297&gt;=1000,Q297=0),"High imp/no click","Data gathering"))))</x:f>
        <x:v>Data gathering</x:v>
      </x:c>
    </x:row>
    <x:row r="298">
      <x:c r="A298" t="s">
        <x:v>22</x:v>
      </x:c>
      <x:c r="B298" t="s">
        <x:v>388</x:v>
      </x:c>
      <x:c r="C298" t="s">
        <x:v>22</x:v>
      </x:c>
      <x:c r="D298" t="s">
        <x:v>218</x:v>
      </x:c>
      <x:c r="E298" t="s">
        <x:v>63</x:v>
      </x:c>
      <x:c r="F298" t="s">
        <x:v>26</x:v>
      </x:c>
      <x:c r="G298" t="s">
        <x:v>27</x:v>
      </x:c>
      <x:c r="H298" t="s">
        <x:v>387</x:v>
      </x:c>
      <x:c r="I298">
        <x:v>1</x:v>
      </x:c>
      <x:c r="L298">
        <x:v>0</x:v>
      </x:c>
      <x:c r="M298">
        <x:v>3</x:v>
      </x:c>
      <x:c r="N298">
        <x:v>5.01</x:v>
      </x:c>
      <x:c r="O298">
        <x:v>1</x:v>
      </x:c>
      <x:c r="Q298">
        <x:v>0</x:v>
      </x:c>
      <x:c r="R298" s="10">
        <x:v>0</x:v>
      </x:c>
      <x:c r="S298">
        <x:v>0</x:v>
      </x:c>
      <x:c r="T298">
        <x:v>0</x:v>
      </x:c>
      <x:c r="U298" s="10">
        <x:v>0</x:v>
      </x:c>
      <x:c r="W298" s="11" t="n">
        <x:f>Summary!$B$2</x:f>
        <x:v>0.15</x:v>
      </x:c>
      <x:c r="X298" s="11" t="n">
        <x:f>IFERROR(AD298-Summary!$B$2,"")</x:f>
        <x:v>-0.15</x:v>
      </x:c>
      <x:c r="Y298" s="10" t="str">
        <x:f>IFERROR((U298/Q298)*Summary!$B$2,"")</x:f>
      </x:c>
      <x:c r="Z298" s="12" t="n">
        <x:f>IFERROR(Q298/O298,0)</x:f>
        <x:v>0</x:v>
      </x:c>
      <x:c r="AA298" s="12" t="n">
        <x:f>IFERROR(T298/Q298,0)</x:f>
        <x:v>0</x:v>
      </x:c>
      <x:c r="AB298" s="10" t="n">
        <x:f>IFERROR(R298/Q298,0)</x:f>
        <x:v>0</x:v>
      </x:c>
      <x:c r="AC298" s="10" t="n">
        <x:f>IFERROR(U298/R298,0)</x:f>
        <x:v>0</x:v>
      </x:c>
      <x:c r="AD298" s="12" t="n">
        <x:f>IFERROR(R298/U298,0)</x:f>
        <x:v>0</x:v>
      </x:c>
      <x:c r="AE298" s="10" t="n">
        <x:f>IFERROR(U298/Q298,0)</x:f>
        <x:v>0</x:v>
      </x:c>
      <x:c r="AF298" s="10" t="n">
        <x:f>IF(Q298=0,M298,IF(U298=0,IF(Q298&gt;=10,MAX(0.02,M298*0.7),M298),IF(AD298=0,M298,MAX(0.02,IF(AD298&gt;Summary!$B$2,M298*Summary!$B$2/AD298,MIN(M298*1.2,M298*Summary!$B$2/AD298))))))</x:f>
        <x:v>3</x:v>
      </x:c>
      <x:c r="AG298" s="11" t="n">
        <x:f>IFERROR(AF298/M298-1,0)</x:f>
        <x:v>0</x:v>
      </x:c>
      <x:c r="AH298" t="str">
        <x:f>IF(Q298=0,"Need clicks",IF(AND(U298=0,Q298&gt;=10),"No sales: lower/pause",IF(AND(AD298&gt;Summary!$B$2,T298&gt;0),"Over target: reduce",IF(AND(AD298&lt;=Summary!$B$2,T298&gt;0),"At/under target: scale/hold",IF(AND(Q298&gt;0,T298=0),"Collect data","Review")))))</x:f>
        <x:v>Need clicks</x:v>
      </x:c>
      <x:c r="AI298" s="10" t="n">
        <x:f>IFERROR(IF(U298=0,R298,MAX(0,R298-(U298*Summary!$B$2))),0)</x:f>
        <x:v>0</x:v>
      </x:c>
      <x:c r="AJ298" t="str">
        <x:f>IF(AH298="No sales: lower/pause","Waste",IF(AH298="Over target: reduce","Inefficient",IF(AH298="At/under target: scale/hold","Efficient",IF(AND(O298&gt;=1000,Q298=0),"High imp/no click","Data gathering"))))</x:f>
        <x:v>Data gathering</x:v>
      </x:c>
    </x:row>
    <x:row r="299">
      <x:c r="A299" t="s">
        <x:v>22</x:v>
      </x:c>
      <x:c r="B299" t="s">
        <x:v>66</x:v>
      </x:c>
      <x:c r="C299" t="s">
        <x:v>22</x:v>
      </x:c>
      <x:c r="D299" t="s">
        <x:v>218</x:v>
      </x:c>
      <x:c r="E299" t="s">
        <x:v>63</x:v>
      </x:c>
      <x:c r="F299" t="s">
        <x:v>26</x:v>
      </x:c>
      <x:c r="G299" t="s">
        <x:v>27</x:v>
      </x:c>
      <x:c r="H299" t="s">
        <x:v>387</x:v>
      </x:c>
      <x:c r="I299">
        <x:v>1</x:v>
      </x:c>
      <x:c r="L299">
        <x:v>0</x:v>
      </x:c>
      <x:c r="M299">
        <x:v>3</x:v>
      </x:c>
      <x:c r="N299">
        <x:v>1.1599999999999999</x:v>
      </x:c>
      <x:c r="O299">
        <x:v>2</x:v>
      </x:c>
      <x:c r="P299">
        <x:v>0</x:v>
      </x:c>
      <x:c r="Q299">
        <x:v>0</x:v>
      </x:c>
      <x:c r="R299" s="10">
        <x:v>0</x:v>
      </x:c>
      <x:c r="S299">
        <x:v>0</x:v>
      </x:c>
      <x:c r="T299">
        <x:v>0</x:v>
      </x:c>
      <x:c r="U299" s="10">
        <x:v>0</x:v>
      </x:c>
      <x:c r="W299" s="11" t="n">
        <x:f>Summary!$B$2</x:f>
        <x:v>0.15</x:v>
      </x:c>
      <x:c r="X299" s="11" t="n">
        <x:f>IFERROR(AD299-Summary!$B$2,"")</x:f>
        <x:v>-0.15</x:v>
      </x:c>
      <x:c r="Y299" s="10" t="str">
        <x:f>IFERROR((U299/Q299)*Summary!$B$2,"")</x:f>
      </x:c>
      <x:c r="Z299" s="12" t="n">
        <x:f>IFERROR(Q299/O299,0)</x:f>
        <x:v>0</x:v>
      </x:c>
      <x:c r="AA299" s="12" t="n">
        <x:f>IFERROR(T299/Q299,0)</x:f>
        <x:v>0</x:v>
      </x:c>
      <x:c r="AB299" s="10" t="n">
        <x:f>IFERROR(R299/Q299,0)</x:f>
        <x:v>0</x:v>
      </x:c>
      <x:c r="AC299" s="10" t="n">
        <x:f>IFERROR(U299/R299,0)</x:f>
        <x:v>0</x:v>
      </x:c>
      <x:c r="AD299" s="12" t="n">
        <x:f>IFERROR(R299/U299,0)</x:f>
        <x:v>0</x:v>
      </x:c>
      <x:c r="AE299" s="10" t="n">
        <x:f>IFERROR(U299/Q299,0)</x:f>
        <x:v>0</x:v>
      </x:c>
      <x:c r="AF299" s="10" t="n">
        <x:f>IF(Q299=0,M299,IF(U299=0,IF(Q299&gt;=10,MAX(0.02,M299*0.7),M299),IF(AD299=0,M299,MAX(0.02,IF(AD299&gt;Summary!$B$2,M299*Summary!$B$2/AD299,MIN(M299*1.2,M299*Summary!$B$2/AD299))))))</x:f>
        <x:v>3</x:v>
      </x:c>
      <x:c r="AG299" s="11" t="n">
        <x:f>IFERROR(AF299/M299-1,0)</x:f>
        <x:v>0</x:v>
      </x:c>
      <x:c r="AH299" t="str">
        <x:f>IF(Q299=0,"Need clicks",IF(AND(U299=0,Q299&gt;=10),"No sales: lower/pause",IF(AND(AD299&gt;Summary!$B$2,T299&gt;0),"Over target: reduce",IF(AND(AD299&lt;=Summary!$B$2,T299&gt;0),"At/under target: scale/hold",IF(AND(Q299&gt;0,T299=0),"Collect data","Review")))))</x:f>
        <x:v>Need clicks</x:v>
      </x:c>
      <x:c r="AI299" s="10" t="n">
        <x:f>IFERROR(IF(U299=0,R299,MAX(0,R299-(U299*Summary!$B$2))),0)</x:f>
        <x:v>0</x:v>
      </x:c>
      <x:c r="AJ299" t="str">
        <x:f>IF(AH299="No sales: lower/pause","Waste",IF(AH299="Over target: reduce","Inefficient",IF(AH299="At/under target: scale/hold","Efficient",IF(AND(O299&gt;=1000,Q299=0),"High imp/no click","Data gathering"))))</x:f>
        <x:v>Data gathering</x:v>
      </x:c>
    </x:row>
    <x:row r="300">
      <x:c r="A300" t="s">
        <x:v>22</x:v>
      </x:c>
      <x:c r="B300" t="s">
        <x:v>389</x:v>
      </x:c>
      <x:c r="C300" t="s">
        <x:v>22</x:v>
      </x:c>
      <x:c r="D300" t="s">
        <x:v>218</x:v>
      </x:c>
      <x:c r="E300" t="s">
        <x:v>63</x:v>
      </x:c>
      <x:c r="F300" t="s">
        <x:v>26</x:v>
      </x:c>
      <x:c r="G300" t="s">
        <x:v>27</x:v>
      </x:c>
      <x:c r="H300" t="s">
        <x:v>106</x:v>
      </x:c>
      <x:c r="I300">
        <x:v>60</x:v>
      </x:c>
      <x:c r="L300">
        <x:v>0</x:v>
      </x:c>
      <x:c r="M300">
        <x:v>2</x:v>
      </x:c>
      <x:c r="N300">
        <x:v>2.94</x:v>
      </x:c>
      <x:c r="O300">
        <x:v>5304</x:v>
      </x:c>
      <x:c r="P300">
        <x:v>7.9789356099896208E-3</x:v>
      </x:c>
      <x:c r="Q300">
        <x:v>0</x:v>
      </x:c>
      <x:c r="R300" s="10">
        <x:v>0</x:v>
      </x:c>
      <x:c r="S300">
        <x:v>0</x:v>
      </x:c>
      <x:c r="T300">
        <x:v>0</x:v>
      </x:c>
      <x:c r="U300" s="10">
        <x:v>0</x:v>
      </x:c>
      <x:c r="W300" s="11" t="n">
        <x:f>Summary!$B$2</x:f>
        <x:v>0.15</x:v>
      </x:c>
      <x:c r="X300" s="11" t="n">
        <x:f>IFERROR(AD300-Summary!$B$2,"")</x:f>
        <x:v>-0.15</x:v>
      </x:c>
      <x:c r="Y300" s="10" t="str">
        <x:f>IFERROR((U300/Q300)*Summary!$B$2,"")</x:f>
      </x:c>
      <x:c r="Z300" s="12" t="n">
        <x:f>IFERROR(Q300/O300,0)</x:f>
        <x:v>0</x:v>
      </x:c>
      <x:c r="AA300" s="12" t="n">
        <x:f>IFERROR(T300/Q300,0)</x:f>
        <x:v>0</x:v>
      </x:c>
      <x:c r="AB300" s="10" t="n">
        <x:f>IFERROR(R300/Q300,0)</x:f>
        <x:v>0</x:v>
      </x:c>
      <x:c r="AC300" s="10" t="n">
        <x:f>IFERROR(U300/R300,0)</x:f>
        <x:v>0</x:v>
      </x:c>
      <x:c r="AD300" s="12" t="n">
        <x:f>IFERROR(R300/U300,0)</x:f>
        <x:v>0</x:v>
      </x:c>
      <x:c r="AE300" s="10" t="n">
        <x:f>IFERROR(U300/Q300,0)</x:f>
        <x:v>0</x:v>
      </x:c>
      <x:c r="AF300" s="10" t="n">
        <x:f>IF(Q300=0,M300,IF(U300=0,IF(Q300&gt;=10,MAX(0.02,M300*0.7),M300),IF(AD300=0,M300,MAX(0.02,IF(AD300&gt;Summary!$B$2,M300*Summary!$B$2/AD300,MIN(M300*1.2,M300*Summary!$B$2/AD300))))))</x:f>
        <x:v>2</x:v>
      </x:c>
      <x:c r="AG300" s="11" t="n">
        <x:f>IFERROR(AF300/M300-1,0)</x:f>
        <x:v>0</x:v>
      </x:c>
      <x:c r="AH300" t="str">
        <x:f>IF(Q300=0,"Need clicks",IF(AND(U300=0,Q300&gt;=10),"No sales: lower/pause",IF(AND(AD300&gt;Summary!$B$2,T300&gt;0),"Over target: reduce",IF(AND(AD300&lt;=Summary!$B$2,T300&gt;0),"At/under target: scale/hold",IF(AND(Q300&gt;0,T300=0),"Collect data","Review")))))</x:f>
        <x:v>Need clicks</x:v>
      </x:c>
      <x:c r="AI300" s="10" t="n">
        <x:f>IFERROR(IF(U300=0,R300,MAX(0,R300-(U300*Summary!$B$2))),0)</x:f>
        <x:v>0</x:v>
      </x:c>
      <x:c r="AJ300" t="str">
        <x:f>IF(AH300="No sales: lower/pause","Waste",IF(AH300="Over target: reduce","Inefficient",IF(AH300="At/under target: scale/hold","Efficient",IF(AND(O300&gt;=1000,Q300=0),"High imp/no click","Data gathering"))))</x:f>
        <x:v>High imp/no click</x:v>
      </x:c>
    </x:row>
    <x:row r="301">
      <x:c r="A301" t="s">
        <x:v>22</x:v>
      </x:c>
      <x:c r="B301" t="s">
        <x:v>389</x:v>
      </x:c>
      <x:c r="C301" t="s">
        <x:v>22</x:v>
      </x:c>
      <x:c r="D301" t="s">
        <x:v>39</x:v>
      </x:c>
      <x:c r="E301" t="s">
        <x:v>63</x:v>
      </x:c>
      <x:c r="F301" t="s">
        <x:v>26</x:v>
      </x:c>
      <x:c r="G301" t="s">
        <x:v>27</x:v>
      </x:c>
      <x:c r="H301" t="s">
        <x:v>106</x:v>
      </x:c>
      <x:c r="I301">
        <x:v>60</x:v>
      </x:c>
      <x:c r="L301">
        <x:v>0</x:v>
      </x:c>
      <x:c r="M301">
        <x:v>2</x:v>
      </x:c>
      <x:c r="N301">
        <x:v>1.81</x:v>
      </x:c>
      <x:c r="O301">
        <x:v>32</x:v>
      </x:c>
      <x:c r="P301">
        <x:v>0</x:v>
      </x:c>
      <x:c r="Q301">
        <x:v>0</x:v>
      </x:c>
      <x:c r="R301" s="10">
        <x:v>0</x:v>
      </x:c>
      <x:c r="S301">
        <x:v>0</x:v>
      </x:c>
      <x:c r="T301">
        <x:v>0</x:v>
      </x:c>
      <x:c r="U301" s="10">
        <x:v>0</x:v>
      </x:c>
      <x:c r="W301" s="11" t="n">
        <x:f>Summary!$B$2</x:f>
        <x:v>0.15</x:v>
      </x:c>
      <x:c r="X301" s="11" t="n">
        <x:f>IFERROR(AD301-Summary!$B$2,"")</x:f>
        <x:v>-0.15</x:v>
      </x:c>
      <x:c r="Y301" s="10" t="str">
        <x:f>IFERROR((U301/Q301)*Summary!$B$2,"")</x:f>
      </x:c>
      <x:c r="Z301" s="12" t="n">
        <x:f>IFERROR(Q301/O301,0)</x:f>
        <x:v>0</x:v>
      </x:c>
      <x:c r="AA301" s="12" t="n">
        <x:f>IFERROR(T301/Q301,0)</x:f>
        <x:v>0</x:v>
      </x:c>
      <x:c r="AB301" s="10" t="n">
        <x:f>IFERROR(R301/Q301,0)</x:f>
        <x:v>0</x:v>
      </x:c>
      <x:c r="AC301" s="10" t="n">
        <x:f>IFERROR(U301/R301,0)</x:f>
        <x:v>0</x:v>
      </x:c>
      <x:c r="AD301" s="12" t="n">
        <x:f>IFERROR(R301/U301,0)</x:f>
        <x:v>0</x:v>
      </x:c>
      <x:c r="AE301" s="10" t="n">
        <x:f>IFERROR(U301/Q301,0)</x:f>
        <x:v>0</x:v>
      </x:c>
      <x:c r="AF301" s="10" t="n">
        <x:f>IF(Q301=0,M301,IF(U301=0,IF(Q301&gt;=10,MAX(0.02,M301*0.7),M301),IF(AD301=0,M301,MAX(0.02,IF(AD301&gt;Summary!$B$2,M301*Summary!$B$2/AD301,MIN(M301*1.2,M301*Summary!$B$2/AD301))))))</x:f>
        <x:v>2</x:v>
      </x:c>
      <x:c r="AG301" s="11" t="n">
        <x:f>IFERROR(AF301/M301-1,0)</x:f>
        <x:v>0</x:v>
      </x:c>
      <x:c r="AH301" t="str">
        <x:f>IF(Q301=0,"Need clicks",IF(AND(U301=0,Q301&gt;=10),"No sales: lower/pause",IF(AND(AD301&gt;Summary!$B$2,T301&gt;0),"Over target: reduce",IF(AND(AD301&lt;=Summary!$B$2,T301&gt;0),"At/under target: scale/hold",IF(AND(Q301&gt;0,T301=0),"Collect data","Review")))))</x:f>
        <x:v>Need clicks</x:v>
      </x:c>
      <x:c r="AI301" s="10" t="n">
        <x:f>IFERROR(IF(U301=0,R301,MAX(0,R301-(U301*Summary!$B$2))),0)</x:f>
        <x:v>0</x:v>
      </x:c>
      <x:c r="AJ301" t="str">
        <x:f>IF(AH301="No sales: lower/pause","Waste",IF(AH301="Over target: reduce","Inefficient",IF(AH301="At/under target: scale/hold","Efficient",IF(AND(O301&gt;=1000,Q301=0),"High imp/no click","Data gathering"))))</x:f>
        <x:v>Data gathering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.560001373291016" hidden="0" customWidth="1"/>
    <x:col min="2" max="2" width="17.889999389648438" hidden="0" customWidth="1"/>
    <x:col min="3" max="3" width="26.889999389648438" hidden="0" customWidth="1"/>
    <x:col min="4" max="4" width="14.329999923706055" hidden="0" customWidth="1"/>
    <x:col min="5" max="5" width="5.670000076293945" hidden="0" customWidth="1"/>
    <x:col min="6" max="6" width="9.779999732971191" hidden="0" customWidth="1"/>
  </x:cols>
  <x:sheetData>
    <x:row r="1">
      <x:c r="A1" s="19" t="str">
        <x:v>MT Amazon Target Report YTD</x:v>
      </x:c>
      <x:c r="B1" s="20" t="str"/>
      <x:c r="C1" s="20" t="str"/>
      <x:c r="D1" s="20" t="str"/>
      <x:c r="E1" s="20"/>
      <x:c r="F1" s="21"/>
    </x:row>
    <x:row r="2">
      <x:c r="A2" s="22" t="str">
        <x:v>Target ACOS</x:v>
      </x:c>
      <x:c r="B2" s="11" t="n">
        <x:v>0.15</x:v>
      </x:c>
      <x:c r="C2" s="23"/>
      <x:c r="D2" s="18" t="str">
        <x:v>Segment</x:v>
      </x:c>
      <x:c r="E2" s="18" t="str">
        <x:v>Count</x:v>
      </x:c>
      <x:c r="F2" s="24" t="str">
        <x:v>Spend</x:v>
      </x:c>
    </x:row>
    <x:row r="3">
      <x:c r="A3" s="22" t="str">
        <x:v>Break-even ROAS at target</x:v>
      </x:c>
      <x:c r="B3" s="31" t="n">
        <x:f>1/B2</x:f>
        <x:v>6.666666666666667</x:v>
      </x:c>
      <x:c r="C3" s="23"/>
      <x:c r="D3" s="23" t="str">
        <x:v>Efficient</x:v>
      </x:c>
      <x:c r="E3" s="23" t="n">
        <x:f>COUNTIF('Targets_Jun_16_2026 (1)'!AJ2:AJ301,D3)</x:f>
        <x:v>0</x:v>
      </x:c>
      <x:c r="F3" s="33" t="n">
        <x:f>SUMIF('Targets_Jun_16_2026 (1)'!AJ2:AJ301,D3,'Targets_Jun_16_2026 (1)'!R2:R301)</x:f>
        <x:v>0</x:v>
      </x:c>
    </x:row>
    <x:row r="4">
      <x:c r="A4" s="22" t="str">
        <x:v>Impressions</x:v>
      </x:c>
      <x:c r="B4" s="32" t="n">
        <x:f>SUM('Targets_Jun_16_2026 (1)'!O2:O301)</x:f>
        <x:v>48250</x:v>
      </x:c>
      <x:c r="C4" s="23"/>
      <x:c r="D4" s="23" t="str">
        <x:v>Inefficient</x:v>
      </x:c>
      <x:c r="E4" s="23" t="n">
        <x:f>COUNTIF('Targets_Jun_16_2026 (1)'!AJ2:AJ301,D4)</x:f>
        <x:v>0</x:v>
      </x:c>
      <x:c r="F4" s="33" t="n">
        <x:f>SUMIF('Targets_Jun_16_2026 (1)'!AJ2:AJ301,D4,'Targets_Jun_16_2026 (1)'!R2:R301)</x:f>
        <x:v>0</x:v>
      </x:c>
    </x:row>
    <x:row r="5">
      <x:c r="A5" s="22" t="str">
        <x:v>Clicks</x:v>
      </x:c>
      <x:c r="B5" s="32" t="n">
        <x:f>SUM('Targets_Jun_16_2026 (1)'!Q2:Q301)</x:f>
        <x:v>0</x:v>
      </x:c>
      <x:c r="C5" s="23"/>
      <x:c r="D5" s="23" t="str">
        <x:v>Waste</x:v>
      </x:c>
      <x:c r="E5" s="23" t="n">
        <x:f>COUNTIF('Targets_Jun_16_2026 (1)'!AJ2:AJ301,D5)</x:f>
        <x:v>0</x:v>
      </x:c>
      <x:c r="F5" s="33" t="n">
        <x:f>SUMIF('Targets_Jun_16_2026 (1)'!AJ2:AJ301,D5,'Targets_Jun_16_2026 (1)'!R2:R301)</x:f>
        <x:v>0</x:v>
      </x:c>
    </x:row>
    <x:row r="6">
      <x:c r="A6" s="22" t="str">
        <x:v>Spend</x:v>
      </x:c>
      <x:c r="B6" s="32" t="n">
        <x:f>SUM('Targets_Jun_16_2026 (1)'!R2:R301)</x:f>
        <x:v>0</x:v>
      </x:c>
      <x:c r="C6" s="23"/>
      <x:c r="D6" s="23" t="str">
        <x:v>Data gathering</x:v>
      </x:c>
      <x:c r="E6" s="23" t="n">
        <x:f>COUNTIF('Targets_Jun_16_2026 (1)'!AJ2:AJ301,D6)</x:f>
        <x:v>288</x:v>
      </x:c>
      <x:c r="F6" s="33" t="n">
        <x:f>SUMIF('Targets_Jun_16_2026 (1)'!AJ2:AJ301,D6,'Targets_Jun_16_2026 (1)'!R2:R301)</x:f>
        <x:v>0</x:v>
      </x:c>
    </x:row>
    <x:row r="7">
      <x:c r="A7" s="22" t="str">
        <x:v>Orders</x:v>
      </x:c>
      <x:c r="B7" s="32" t="n">
        <x:f>SUM('Targets_Jun_16_2026 (1)'!T2:T301)</x:f>
        <x:v>0</x:v>
      </x:c>
      <x:c r="C7" s="23"/>
      <x:c r="D7" s="23" t="str">
        <x:v>High imp/no click</x:v>
      </x:c>
      <x:c r="E7" s="23" t="n">
        <x:f>COUNTIF('Targets_Jun_16_2026 (1)'!AJ2:AJ301,D7)</x:f>
        <x:v>12</x:v>
      </x:c>
      <x:c r="F7" s="33" t="n">
        <x:f>SUMIF('Targets_Jun_16_2026 (1)'!AJ2:AJ301,D7,'Targets_Jun_16_2026 (1)'!R2:R301)</x:f>
        <x:v>0</x:v>
      </x:c>
    </x:row>
    <x:row r="8">
      <x:c r="A8" s="22" t="str">
        <x:v>Sales</x:v>
      </x:c>
      <x:c r="B8" s="10" t="n">
        <x:f>SUM('Targets_Jun_16_2026 (1)'!U2:U301)</x:f>
        <x:v>0</x:v>
      </x:c>
      <x:c r="C8" s="23"/>
      <x:c r="D8" s="23"/>
      <x:c r="E8" s="23"/>
      <x:c r="F8" s="25"/>
    </x:row>
    <x:row r="9">
      <x:c r="A9" s="22" t="str">
        <x:v>CTR</x:v>
      </x:c>
      <x:c r="B9" s="12" t="n">
        <x:f>IFERROR(B5/B4,0)</x:f>
        <x:v>0</x:v>
      </x:c>
      <x:c r="C9" s="23"/>
      <x:c r="D9" s="23"/>
      <x:c r="E9" s="23"/>
      <x:c r="F9" s="25"/>
    </x:row>
    <x:row r="10">
      <x:c r="A10" s="22" t="str">
        <x:v>CVR</x:v>
      </x:c>
      <x:c r="B10" s="12" t="n">
        <x:f>IFERROR(B7/B5,0)</x:f>
        <x:v>0</x:v>
      </x:c>
      <x:c r="C10" s="23"/>
      <x:c r="D10" s="23"/>
      <x:c r="E10" s="23"/>
      <x:c r="F10" s="25"/>
    </x:row>
    <x:row r="11">
      <x:c r="A11" s="22" t="str">
        <x:v>CPC</x:v>
      </x:c>
      <x:c r="B11" s="10" t="n">
        <x:f>IFERROR(B6/B5,0)</x:f>
        <x:v>0</x:v>
      </x:c>
      <x:c r="C11" s="23"/>
      <x:c r="D11" s="23"/>
      <x:c r="E11" s="23"/>
      <x:c r="F11" s="25"/>
    </x:row>
    <x:row r="12">
      <x:c r="A12" s="22" t="str">
        <x:v>ROAS</x:v>
      </x:c>
      <x:c r="B12" s="31" t="n">
        <x:f>IFERROR(B8/B6,0)</x:f>
        <x:v>0</x:v>
      </x:c>
      <x:c r="C12" s="23"/>
      <x:c r="D12" s="23"/>
      <x:c r="E12" s="23"/>
      <x:c r="F12" s="25"/>
    </x:row>
    <x:row r="13">
      <x:c r="A13" s="22" t="str">
        <x:v>ACOS</x:v>
      </x:c>
      <x:c r="B13" s="12" t="n">
        <x:f>IFERROR(B6/B8,0)</x:f>
        <x:v>0</x:v>
      </x:c>
      <x:c r="C13" s="23"/>
      <x:c r="D13" s="23"/>
      <x:c r="E13" s="23"/>
      <x:c r="F13" s="25"/>
    </x:row>
    <x:row r="14">
      <x:c r="A14" s="22" t="str">
        <x:v>Active targets</x:v>
      </x:c>
      <x:c r="B14" s="23" t="n">
        <x:f>COUNTIF('Targets_Jun_16_2026 (1)'!A2:A301,"ENABLED")</x:f>
        <x:v>300</x:v>
      </x:c>
      <x:c r="C14" s="23"/>
      <x:c r="D14" s="23"/>
      <x:c r="E14" s="23"/>
      <x:c r="F14" s="25"/>
    </x:row>
    <x:row r="15">
      <x:c r="A15" s="22" t="str">
        <x:v>Targets with spend/no sales</x:v>
      </x:c>
      <x:c r="B15" s="23" t="n">
        <x:f>COUNTIFS('Targets_Jun_16_2026 (1)'!R2:R301,"&gt;0",'Targets_Jun_16_2026 (1)'!U2:U301,0)</x:f>
        <x:v>0</x:v>
      </x:c>
      <x:c r="C15" s="23"/>
      <x:c r="D15" s="23"/>
      <x:c r="E15" s="23"/>
      <x:c r="F15" s="25"/>
    </x:row>
    <x:row r="16">
      <x:c r="A16" s="22" t="str">
        <x:v>Targets over 15% ACOS</x:v>
      </x:c>
      <x:c r="B16" s="23" t="n">
        <x:f>COUNTIFS('Targets_Jun_16_2026 (1)'!AD2:AD301,"&gt;"&amp;$B$2,'Targets_Jun_16_2026 (1)'!T2:T301,"&gt;0")</x:f>
        <x:v>0</x:v>
      </x:c>
      <x:c r="C16" s="23"/>
      <x:c r="D16" s="23"/>
      <x:c r="E16" s="23"/>
      <x:c r="F16" s="25"/>
    </x:row>
    <x:row r="17">
      <x:c r="A17" s="26"/>
      <x:c r="B17" s="23"/>
      <x:c r="C17" s="23"/>
      <x:c r="D17" s="23"/>
      <x:c r="E17" s="23"/>
      <x:c r="F17" s="25"/>
    </x:row>
    <x:row r="18">
      <x:c r="A18" s="26"/>
      <x:c r="B18" s="23"/>
      <x:c r="C18" s="23"/>
      <x:c r="D18" s="23"/>
      <x:c r="E18" s="23"/>
      <x:c r="F18" s="25"/>
    </x:row>
    <x:row r="19">
      <x:c r="A19" s="27" t="str">
        <x:v>Rank</x:v>
      </x:c>
      <x:c r="B19" s="18" t="str">
        <x:v>Target</x:v>
      </x:c>
      <x:c r="C19" s="18" t="str">
        <x:v>Campaign</x:v>
      </x:c>
      <x:c r="D19" s="18" t="str">
        <x:v>Spend</x:v>
      </x:c>
      <x:c r="E19" s="18" t="str">
        <x:v>Sales</x:v>
      </x:c>
      <x:c r="F19" s="24" t="str">
        <x:v>Action</x:v>
      </x:c>
    </x:row>
    <x:row r="20">
      <x:c r="A20" s="26" t="n">
        <x:f>1</x:f>
        <x:v>1</x:v>
      </x:c>
      <x:c r="B20" s="23" t="str">
        <x:f>IFERROR(INDEX(SORTBY('Targets_Jun_16_2026 (1)'!B2:B301,'Targets_Jun_16_2026 (1)'!AI2:AI301,-1),1),"")</x:f>
        <x:v>table frame</x:v>
      </x:c>
      <x:c r="C20" s="23" t="str">
        <x:f>IFERROR(INDEX(SORTBY('Targets_Jun_16_2026 (1)'!E2:E301,'Targets_Jun_16_2026 (1)'!AI2:AI301,-1),1),"")</x:f>
        <x:v>K.O. - New Frames Manual Tufan</x:v>
      </x:c>
      <x:c r="D20" s="10" t="n">
        <x:f>IFERROR(INDEX(SORTBY('Targets_Jun_16_2026 (1)'!R2:R301,'Targets_Jun_16_2026 (1)'!AI2:AI301,-1),1),"")</x:f>
        <x:v>0</x:v>
      </x:c>
      <x:c r="E20" s="10" t="n">
        <x:f>IFERROR(INDEX(SORTBY('Targets_Jun_16_2026 (1)'!U2:U301,'Targets_Jun_16_2026 (1)'!AI2:AI301,-1),1),"")</x:f>
        <x:v>0</x:v>
      </x:c>
      <x:c r="F20" s="25" t="str">
        <x:f>IFERROR(INDEX(SORTBY('Targets_Jun_16_2026 (1)'!AH2:AH301,'Targets_Jun_16_2026 (1)'!AI2:AI301,-1),1),"")</x:f>
        <x:v>Need clicks</x:v>
      </x:c>
    </x:row>
    <x:row r="21">
      <x:c r="A21" s="26" t="n">
        <x:f>2</x:f>
        <x:v>2</x:v>
      </x:c>
      <x:c r="B21" s="23" t="str">
        <x:f>IFERROR(INDEX(SORTBY('Targets_Jun_16_2026 (1)'!B2:B301,'Targets_Jun_16_2026 (1)'!AI2:AI301,-1),2),"")</x:f>
        <x:v>kitchen posters</x:v>
      </x:c>
      <x:c r="C21" s="23" t="str">
        <x:f>IFERROR(INDEX(SORTBY('Targets_Jun_16_2026 (1)'!E2:E301,'Targets_Jun_16_2026 (1)'!AI2:AI301,-1),2),"")</x:f>
        <x:v>K.O. - 8.5x11 new tufan manual</x:v>
      </x:c>
      <x:c r="D21" s="10" t="n">
        <x:f>IFERROR(INDEX(SORTBY('Targets_Jun_16_2026 (1)'!R2:R301,'Targets_Jun_16_2026 (1)'!AI2:AI301,-1),2),"")</x:f>
        <x:v>0</x:v>
      </x:c>
      <x:c r="E21" s="10" t="n">
        <x:f>IFERROR(INDEX(SORTBY('Targets_Jun_16_2026 (1)'!U2:U301,'Targets_Jun_16_2026 (1)'!AI2:AI301,-1),2),"")</x:f>
        <x:v>0</x:v>
      </x:c>
      <x:c r="F21" s="25" t="str">
        <x:f>IFERROR(INDEX(SORTBY('Targets_Jun_16_2026 (1)'!AH2:AH301,'Targets_Jun_16_2026 (1)'!AI2:AI301,-1),2),"")</x:f>
        <x:v>Need clicks</x:v>
      </x:c>
    </x:row>
    <x:row r="22">
      <x:c r="A22" s="26" t="n">
        <x:f>3</x:f>
        <x:v>3</x:v>
      </x:c>
      <x:c r="B22" s="23" t="str">
        <x:f>IFERROR(INDEX(SORTBY('Targets_Jun_16_2026 (1)'!B2:B301,'Targets_Jun_16_2026 (1)'!AI2:AI301,-1),3),"")</x:f>
        <x:v>poster frames 36 x 48</x:v>
      </x:c>
      <x:c r="C22" s="23" t="str">
        <x:f>IFERROR(INDEX(SORTBY('Targets_Jun_16_2026 (1)'!E2:E301,'Targets_Jun_16_2026 (1)'!AI2:AI301,-1),3),"")</x:f>
        <x:v>K.O. - New Frames Manual Tufan</x:v>
      </x:c>
      <x:c r="D22" s="10" t="n">
        <x:f>IFERROR(INDEX(SORTBY('Targets_Jun_16_2026 (1)'!R2:R301,'Targets_Jun_16_2026 (1)'!AI2:AI301,-1),3),"")</x:f>
        <x:v>0</x:v>
      </x:c>
      <x:c r="E22" s="10" t="n">
        <x:f>IFERROR(INDEX(SORTBY('Targets_Jun_16_2026 (1)'!U2:U301,'Targets_Jun_16_2026 (1)'!AI2:AI301,-1),3),"")</x:f>
        <x:v>0</x:v>
      </x:c>
      <x:c r="F22" s="25" t="str">
        <x:f>IFERROR(INDEX(SORTBY('Targets_Jun_16_2026 (1)'!AH2:AH301,'Targets_Jun_16_2026 (1)'!AI2:AI301,-1),3),"")</x:f>
        <x:v>Need clicks</x:v>
      </x:c>
    </x:row>
    <x:row r="23">
      <x:c r="A23" s="26" t="n">
        <x:f>4</x:f>
        <x:v>4</x:v>
      </x:c>
      <x:c r="B23" s="23" t="str">
        <x:f>IFERROR(INDEX(SORTBY('Targets_Jun_16_2026 (1)'!B2:B301,'Targets_Jun_16_2026 (1)'!AI2:AI301,-1),4),"")</x:f>
        <x:v>black poster frame</x:v>
      </x:c>
      <x:c r="C23" s="23" t="str">
        <x:f>IFERROR(INDEX(SORTBY('Targets_Jun_16_2026 (1)'!E2:E301,'Targets_Jun_16_2026 (1)'!AI2:AI301,-1),4),"")</x:f>
        <x:v>K.O. - New Frames Manual Tufan</x:v>
      </x:c>
      <x:c r="D23" s="10" t="n">
        <x:f>IFERROR(INDEX(SORTBY('Targets_Jun_16_2026 (1)'!R2:R301,'Targets_Jun_16_2026 (1)'!AI2:AI301,-1),4),"")</x:f>
        <x:v>0</x:v>
      </x:c>
      <x:c r="E23" s="10" t="n">
        <x:f>IFERROR(INDEX(SORTBY('Targets_Jun_16_2026 (1)'!U2:U301,'Targets_Jun_16_2026 (1)'!AI2:AI301,-1),4),"")</x:f>
        <x:v>0</x:v>
      </x:c>
      <x:c r="F23" s="25" t="str">
        <x:f>IFERROR(INDEX(SORTBY('Targets_Jun_16_2026 (1)'!AH2:AH301,'Targets_Jun_16_2026 (1)'!AI2:AI301,-1),4),"")</x:f>
        <x:v>Need clicks</x:v>
      </x:c>
    </x:row>
    <x:row r="24">
      <x:c r="A24" s="26" t="n">
        <x:f>5</x:f>
        <x:v>5</x:v>
      </x:c>
      <x:c r="B24" s="23" t="str">
        <x:f>IFERROR(INDEX(SORTBY('Targets_Jun_16_2026 (1)'!B2:B301,'Targets_Jun_16_2026 (1)'!AI2:AI301,-1),5),"")</x:f>
        <x:v>opti</x:v>
      </x:c>
      <x:c r="C24" s="23" t="str">
        <x:f>IFERROR(INDEX(SORTBY('Targets_Jun_16_2026 (1)'!E2:E301,'Targets_Jun_16_2026 (1)'!AI2:AI301,-1),5),"")</x:f>
        <x:v>K.O. - 8.5x11 new tufan manual</x:v>
      </x:c>
      <x:c r="D24" s="10" t="n">
        <x:f>IFERROR(INDEX(SORTBY('Targets_Jun_16_2026 (1)'!R2:R301,'Targets_Jun_16_2026 (1)'!AI2:AI301,-1),5),"")</x:f>
        <x:v>0</x:v>
      </x:c>
      <x:c r="E24" s="10" t="n">
        <x:f>IFERROR(INDEX(SORTBY('Targets_Jun_16_2026 (1)'!U2:U301,'Targets_Jun_16_2026 (1)'!AI2:AI301,-1),5),"")</x:f>
        <x:v>0</x:v>
      </x:c>
      <x:c r="F24" s="25" t="str">
        <x:f>IFERROR(INDEX(SORTBY('Targets_Jun_16_2026 (1)'!AH2:AH301,'Targets_Jun_16_2026 (1)'!AI2:AI301,-1),5),"")</x:f>
        <x:v>Need clicks</x:v>
      </x:c>
    </x:row>
    <x:row r="25">
      <x:c r="A25" s="26" t="n">
        <x:f>6</x:f>
        <x:v>6</x:v>
      </x:c>
      <x:c r="B25" s="23" t="str">
        <x:f>IFERROR(INDEX(SORTBY('Targets_Jun_16_2026 (1)'!B2:B301,'Targets_Jun_16_2026 (1)'!AI2:AI301,-1),6),"")</x:f>
        <x:v>10 inch frame</x:v>
      </x:c>
      <x:c r="C25" s="23" t="str">
        <x:f>IFERROR(INDEX(SORTBY('Targets_Jun_16_2026 (1)'!E2:E301,'Targets_Jun_16_2026 (1)'!AI2:AI301,-1),6),"")</x:f>
        <x:v>K.O. - 8.5x11 new tufan manual</x:v>
      </x:c>
      <x:c r="D25" s="10" t="n">
        <x:f>IFERROR(INDEX(SORTBY('Targets_Jun_16_2026 (1)'!R2:R301,'Targets_Jun_16_2026 (1)'!AI2:AI301,-1),6),"")</x:f>
        <x:v>0</x:v>
      </x:c>
      <x:c r="E25" s="10" t="n">
        <x:f>IFERROR(INDEX(SORTBY('Targets_Jun_16_2026 (1)'!U2:U301,'Targets_Jun_16_2026 (1)'!AI2:AI301,-1),6),"")</x:f>
        <x:v>0</x:v>
      </x:c>
      <x:c r="F25" s="25" t="str">
        <x:f>IFERROR(INDEX(SORTBY('Targets_Jun_16_2026 (1)'!AH2:AH301,'Targets_Jun_16_2026 (1)'!AI2:AI301,-1),6),"")</x:f>
        <x:v>Need clicks</x:v>
      </x:c>
    </x:row>
    <x:row r="26">
      <x:c r="A26" s="26" t="n">
        <x:f>7</x:f>
        <x:v>7</x:v>
      </x:c>
      <x:c r="B26" s="23" t="str">
        <x:f>IFERROR(INDEX(SORTBY('Targets_Jun_16_2026 (1)'!B2:B301,'Targets_Jun_16_2026 (1)'!AI2:AI301,-1),7),"")</x:f>
        <x:v>48x36 snap frame</x:v>
      </x:c>
      <x:c r="C26" s="23" t="str">
        <x:f>IFERROR(INDEX(SORTBY('Targets_Jun_16_2026 (1)'!E2:E301,'Targets_Jun_16_2026 (1)'!AI2:AI301,-1),7),"")</x:f>
        <x:v>K.O. - 36x48 frame - 2.3.20</x:v>
      </x:c>
      <x:c r="D26" s="10" t="n">
        <x:f>IFERROR(INDEX(SORTBY('Targets_Jun_16_2026 (1)'!R2:R301,'Targets_Jun_16_2026 (1)'!AI2:AI301,-1),7),"")</x:f>
        <x:v>0</x:v>
      </x:c>
      <x:c r="E26" s="10" t="n">
        <x:f>IFERROR(INDEX(SORTBY('Targets_Jun_16_2026 (1)'!U2:U301,'Targets_Jun_16_2026 (1)'!AI2:AI301,-1),7),"")</x:f>
        <x:v>0</x:v>
      </x:c>
      <x:c r="F26" s="25" t="str">
        <x:f>IFERROR(INDEX(SORTBY('Targets_Jun_16_2026 (1)'!AH2:AH301,'Targets_Jun_16_2026 (1)'!AI2:AI301,-1),7),"")</x:f>
        <x:v>Need clicks</x:v>
      </x:c>
    </x:row>
    <x:row r="27">
      <x:c r="A27" s="26" t="n">
        <x:f>8</x:f>
        <x:v>8</x:v>
      </x:c>
      <x:c r="B27" s="23" t="str">
        <x:f>IFERROR(INDEX(SORTBY('Targets_Jun_16_2026 (1)'!B2:B301,'Targets_Jun_16_2026 (1)'!AI2:AI301,-1),8),"")</x:f>
        <x:v>22x28 frame glass</x:v>
      </x:c>
      <x:c r="C27" s="23" t="str">
        <x:f>IFERROR(INDEX(SORTBY('Targets_Jun_16_2026 (1)'!E2:E301,'Targets_Jun_16_2026 (1)'!AI2:AI301,-1),8),"")</x:f>
        <x:v>K.O. - 22x28 frame - 2.3.20</x:v>
      </x:c>
      <x:c r="D27" s="10" t="n">
        <x:f>IFERROR(INDEX(SORTBY('Targets_Jun_16_2026 (1)'!R2:R301,'Targets_Jun_16_2026 (1)'!AI2:AI301,-1),8),"")</x:f>
        <x:v>0</x:v>
      </x:c>
      <x:c r="E27" s="10" t="n">
        <x:f>IFERROR(INDEX(SORTBY('Targets_Jun_16_2026 (1)'!U2:U301,'Targets_Jun_16_2026 (1)'!AI2:AI301,-1),8),"")</x:f>
        <x:v>0</x:v>
      </x:c>
      <x:c r="F27" s="25" t="str">
        <x:f>IFERROR(INDEX(SORTBY('Targets_Jun_16_2026 (1)'!AH2:AH301,'Targets_Jun_16_2026 (1)'!AI2:AI301,-1),8),"")</x:f>
        <x:v>Need clicks</x:v>
      </x:c>
    </x:row>
    <x:row r="28">
      <x:c r="A28" s="26" t="n">
        <x:f>9</x:f>
        <x:v>9</x:v>
      </x:c>
      <x:c r="B28" s="23" t="str">
        <x:f>IFERROR(INDEX(SORTBY('Targets_Jun_16_2026 (1)'!B2:B301,'Targets_Jun_16_2026 (1)'!AI2:AI301,-1),9),"")</x:f>
        <x:v>22x28 poster frame</x:v>
      </x:c>
      <x:c r="C28" s="23" t="str">
        <x:f>IFERROR(INDEX(SORTBY('Targets_Jun_16_2026 (1)'!E2:E301,'Targets_Jun_16_2026 (1)'!AI2:AI301,-1),9),"")</x:f>
        <x:v>K.O. - 22x28 frame - 2.3.20</x:v>
      </x:c>
      <x:c r="D28" s="10" t="n">
        <x:f>IFERROR(INDEX(SORTBY('Targets_Jun_16_2026 (1)'!R2:R301,'Targets_Jun_16_2026 (1)'!AI2:AI301,-1),9),"")</x:f>
        <x:v>0</x:v>
      </x:c>
      <x:c r="E28" s="10" t="n">
        <x:f>IFERROR(INDEX(SORTBY('Targets_Jun_16_2026 (1)'!U2:U301,'Targets_Jun_16_2026 (1)'!AI2:AI301,-1),9),"")</x:f>
        <x:v>0</x:v>
      </x:c>
      <x:c r="F28" s="25" t="str">
        <x:f>IFERROR(INDEX(SORTBY('Targets_Jun_16_2026 (1)'!AH2:AH301,'Targets_Jun_16_2026 (1)'!AI2:AI301,-1),9),"")</x:f>
        <x:v>Need clicks</x:v>
      </x:c>
    </x:row>
    <x:row r="29">
      <x:c r="A29" s="28" t="n">
        <x:f>10</x:f>
        <x:v>10</x:v>
      </x:c>
      <x:c r="B29" s="29" t="str">
        <x:f>IFERROR(INDEX(SORTBY('Targets_Jun_16_2026 (1)'!B2:B301,'Targets_Jun_16_2026 (1)'!AI2:AI301,-1),10),"")</x:f>
        <x:v>28x22 frame</x:v>
      </x:c>
      <x:c r="C29" s="29" t="str">
        <x:f>IFERROR(INDEX(SORTBY('Targets_Jun_16_2026 (1)'!E2:E301,'Targets_Jun_16_2026 (1)'!AI2:AI301,-1),10),"")</x:f>
        <x:v>K.O. - 22x28 frame - 2.3.20</x:v>
      </x:c>
      <x:c r="D29" s="34" t="n">
        <x:f>IFERROR(INDEX(SORTBY('Targets_Jun_16_2026 (1)'!R2:R301,'Targets_Jun_16_2026 (1)'!AI2:AI301,-1),10),"")</x:f>
        <x:v>0</x:v>
      </x:c>
      <x:c r="E29" s="34" t="n">
        <x:f>IFERROR(INDEX(SORTBY('Targets_Jun_16_2026 (1)'!U2:U301,'Targets_Jun_16_2026 (1)'!AI2:AI301,-1),10),"")</x:f>
        <x:v>0</x:v>
      </x:c>
      <x:c r="F29" s="30" t="str">
        <x:f>IFERROR(INDEX(SORTBY('Targets_Jun_16_2026 (1)'!AH2:AH301,'Targets_Jun_16_2026 (1)'!AI2:AI301,-1),10),"")</x:f>
        <x:v>Need clicks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.66999816894531" hidden="0" customWidth="1"/>
    <x:col min="3" max="3" width="40" hidden="0" customWidth="1"/>
  </x:cols>
  <x:sheetData>
    <x:row r="1">
      <x:c r="A1" s="37" t="str">
        <x:v>Metric / Decision</x:v>
      </x:c>
      <x:c r="B1" s="38" t="str">
        <x:v>Formula</x:v>
      </x:c>
      <x:c r="C1" s="39" t="str">
        <x:v>What it tells you</x:v>
      </x:c>
    </x:row>
    <x:row r="2">
      <x:c r="A2" s="40" t="str">
        <x:v>Target ACOS</x:v>
      </x:c>
      <x:c r="B2" s="36" t="str">
        <x:v>15% input on Summary!B2</x:v>
      </x:c>
      <x:c r="C2" s="41" t="str">
        <x:v>Your profitability goal. Edit Summary!B2 to change the model.</x:v>
      </x:c>
    </x:row>
    <x:row r="3">
      <x:c r="A3" s="40" t="str">
        <x:v>CTR</x:v>
      </x:c>
      <x:c r="B3" s="36" t="str">
        <x:v>Clicks / Impressions</x:v>
      </x:c>
      <x:c r="C3" s="41" t="str">
        <x:v>How often shoppers click after seeing the ad.</x:v>
      </x:c>
    </x:row>
    <x:row r="4">
      <x:c r="A4" s="40" t="str">
        <x:v>CVR</x:v>
      </x:c>
      <x:c r="B4" s="36" t="str">
        <x:v>Orders / Clicks</x:v>
      </x:c>
      <x:c r="C4" s="41" t="str">
        <x:v>How often clicks become orders.</x:v>
      </x:c>
    </x:row>
    <x:row r="5">
      <x:c r="A5" s="40" t="str">
        <x:v>CPC</x:v>
      </x:c>
      <x:c r="B5" s="36" t="str">
        <x:v>Spend / Clicks</x:v>
      </x:c>
      <x:c r="C5" s="41" t="str">
        <x:v>Average paid cost per click.</x:v>
      </x:c>
    </x:row>
    <x:row r="6">
      <x:c r="A6" s="40" t="str">
        <x:v>ROAS</x:v>
      </x:c>
      <x:c r="B6" s="36" t="str">
        <x:v>Sales / Spend</x:v>
      </x:c>
      <x:c r="C6" s="41" t="str">
        <x:v>Revenue returned for each ad dollar.</x:v>
      </x:c>
    </x:row>
    <x:row r="7">
      <x:c r="A7" s="40" t="str">
        <x:v>ACOS</x:v>
      </x:c>
      <x:c r="B7" s="36" t="str">
        <x:v>Spend / Sales</x:v>
      </x:c>
      <x:c r="C7" s="41" t="str">
        <x:v>Ad cost as a percent of attributed sales.</x:v>
      </x:c>
    </x:row>
    <x:row r="8">
      <x:c r="A8" s="40" t="str">
        <x:v>Break-even ROAS at 15% ACOS</x:v>
      </x:c>
      <x:c r="B8" s="36" t="str">
        <x:v>1 / Target ACOS</x:v>
      </x:c>
      <x:c r="C8" s="41" t="str">
        <x:v>For 15% ACOS, ROAS must be 6.67 or higher.</x:v>
      </x:c>
    </x:row>
    <x:row r="9">
      <x:c r="A9" s="40" t="str">
        <x:v>Revenue per click</x:v>
      </x:c>
      <x:c r="B9" s="36" t="str">
        <x:v>Sales / Clicks</x:v>
      </x:c>
      <x:c r="C9" s="41" t="str">
        <x:v>The sales value each click is producing.</x:v>
      </x:c>
    </x:row>
    <x:row r="10">
      <x:c r="A10" s="40" t="str">
        <x:v>Target CPC</x:v>
      </x:c>
      <x:c r="B10" s="36" t="str">
        <x:v>Revenue per Click * Target ACOS</x:v>
      </x:c>
      <x:c r="C10" s="41" t="str">
        <x:v>The max CPC supported by the 15% ACOS goal.</x:v>
      </x:c>
    </x:row>
    <x:row r="11">
      <x:c r="A11" s="40" t="str">
        <x:v>ACOS gap</x:v>
      </x:c>
      <x:c r="B11" s="36" t="str">
        <x:v>Calculated ACOS - Target ACOS</x:v>
      </x:c>
      <x:c r="C11" s="41" t="str">
        <x:v>Positive means the target is inefficient.</x:v>
      </x:c>
    </x:row>
    <x:row r="12">
      <x:c r="A12" s="40" t="str">
        <x:v>Bid reduce formula</x:v>
      </x:c>
      <x:c r="B12" s="36" t="str">
        <x:v>Current Bid * Target ACOS / Actual ACOS</x:v>
      </x:c>
      <x:c r="C12" s="41" t="str">
        <x:v>Used when a target has sales but ACOS is above target.</x:v>
      </x:c>
    </x:row>
    <x:row r="13">
      <x:c r="A13" s="40" t="str">
        <x:v>No-sales rule</x:v>
      </x:c>
      <x:c r="B13" s="36" t="str">
        <x:v>If sales = 0 and clicks &gt;= 10, recommended bid = current bid * 70%</x:v>
      </x:c>
      <x:c r="C13" s="41" t="str">
        <x:v>A conservative cut for spenders with enough click data and no orders.</x:v>
      </x:c>
    </x:row>
    <x:row r="14">
      <x:c r="A14" s="40" t="str">
        <x:v>Scale rule</x:v>
      </x:c>
      <x:c r="B14" s="36" t="str">
        <x:v>If ACOS is below target, recommended bid can rise up to 20%</x:v>
      </x:c>
      <x:c r="C14" s="41" t="str">
        <x:v>Lets efficient targets get more volume without overreacting.</x:v>
      </x:c>
    </x:row>
    <x:row r="15">
      <x:c r="A15" s="42" t="str">
        <x:v>Priority score</x:v>
      </x:c>
      <x:c r="B15" s="43" t="str">
        <x:v>No-sales spend OR excess spend over target</x:v>
      </x:c>
      <x:c r="C15" s="44" t="str">
        <x:v>Ranks where optimization can recover the most wasted spend.</x:v>
      </x:c>
    </x:row>
  </x:sheetData>
  <x:pageMargins left="0.7" right="0.7" top="0.75" bottom="0.75" header="0.3" footer="0.3"/>
</x:worksheet>
</file>